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assignments_projects\"/>
    </mc:Choice>
  </mc:AlternateContent>
  <xr:revisionPtr revIDLastSave="0" documentId="13_ncr:1_{B0C19ABC-F22F-4AFA-B7CC-438F90693A02}" xr6:coauthVersionLast="47" xr6:coauthVersionMax="47" xr10:uidLastSave="{00000000-0000-0000-0000-000000000000}"/>
  <bookViews>
    <workbookView xWindow="-110" yWindow="-110" windowWidth="19420" windowHeight="10300" activeTab="3" xr2:uid="{C3F81D98-6041-42EC-8131-A483C6C21874}"/>
  </bookViews>
  <sheets>
    <sheet name="Sheet1" sheetId="1" r:id="rId1"/>
    <sheet name="Sheet2" sheetId="2" r:id="rId2"/>
    <sheet name="Sheet3" sheetId="3" r:id="rId3"/>
    <sheet name="Sheet4"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 i="4" l="1"/>
  <c r="E15" i="4"/>
  <c r="D15" i="4"/>
  <c r="G16" i="4" l="1"/>
  <c r="H16" i="4"/>
  <c r="F16" i="4"/>
  <c r="E16" i="4"/>
  <c r="D16" i="4"/>
  <c r="M4" i="3" l="1"/>
  <c r="M2" i="3"/>
  <c r="M3" i="3"/>
  <c r="M5" i="3"/>
  <c r="M6" i="3" l="1"/>
</calcChain>
</file>

<file path=xl/sharedStrings.xml><?xml version="1.0" encoding="utf-8"?>
<sst xmlns="http://schemas.openxmlformats.org/spreadsheetml/2006/main" count="622" uniqueCount="376">
  <si>
    <t>Project Name</t>
  </si>
  <si>
    <t>Fabrilife</t>
  </si>
  <si>
    <t>Client</t>
  </si>
  <si>
    <t>Reference Document</t>
  </si>
  <si>
    <t>FRS</t>
  </si>
  <si>
    <t>Created By</t>
  </si>
  <si>
    <t>Creation Date</t>
  </si>
  <si>
    <t>DD-MM-YYYY</t>
  </si>
  <si>
    <t>Approval Date</t>
  </si>
  <si>
    <t>Test Scenario ID</t>
  </si>
  <si>
    <t>Reference</t>
  </si>
  <si>
    <t>Test Scenario Description</t>
  </si>
  <si>
    <t>Priority</t>
  </si>
  <si>
    <t>Number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</si>
  <si>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</si>
  <si>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</si>
  <si>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</si>
  <si>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</si>
  <si>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</si>
  <si>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</si>
  <si>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</si>
  <si>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</si>
  <si>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</si>
  <si>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</si>
  <si>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</si>
  <si>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</si>
  <si>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</si>
  <si>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</si>
  <si>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 xml:space="preserve">Validate the working of 'Shop' functionality </t>
  </si>
  <si>
    <t>TS_007</t>
  </si>
  <si>
    <t>Validate the working of All category functionality</t>
  </si>
  <si>
    <t>P4</t>
  </si>
  <si>
    <t>TS_008</t>
  </si>
  <si>
    <t>Validate the Product Display Page functionality for the different types of Products</t>
  </si>
  <si>
    <t>TS_009</t>
  </si>
  <si>
    <t>Validate the working of 'Cart' functionality</t>
  </si>
  <si>
    <t>TS_010</t>
  </si>
  <si>
    <t>Validate the working of Exclusive Sale functionality</t>
  </si>
  <si>
    <t>TS_011</t>
  </si>
  <si>
    <t>Validate the hamburger menu button functionality</t>
  </si>
  <si>
    <t>TS_012</t>
  </si>
  <si>
    <t>Validate the working of 'Order Tracking' functionality</t>
  </si>
  <si>
    <t>TS_013</t>
  </si>
  <si>
    <t>Validate the working of Home Page functionality</t>
  </si>
  <si>
    <t>TS_014</t>
  </si>
  <si>
    <t>Validate the working of Checkout functionality</t>
  </si>
  <si>
    <t>TS_015</t>
  </si>
  <si>
    <t>Validate the working of 'Payments' page functionality</t>
  </si>
  <si>
    <t>TS_016</t>
  </si>
  <si>
    <t>Validate the My Account functionality</t>
  </si>
  <si>
    <t>TS_017</t>
  </si>
  <si>
    <t>Validate the working of 'Help' functionality</t>
  </si>
  <si>
    <t>P3</t>
  </si>
  <si>
    <t>TS_018</t>
  </si>
  <si>
    <t>Validate the 'Terms and Condition' functionality</t>
  </si>
  <si>
    <t>TS_019</t>
  </si>
  <si>
    <t>Validate the 'About Us' functionality</t>
  </si>
  <si>
    <t>TS_020</t>
  </si>
  <si>
    <t>Validate the 'Cancellation and Return Polices' functionality</t>
  </si>
  <si>
    <t>TS_021</t>
  </si>
  <si>
    <t>Validate the working of Contact with us' functionality</t>
  </si>
  <si>
    <t>TS_022</t>
  </si>
  <si>
    <t>Validate the working of 'Join Fabrisquad' page functionality</t>
  </si>
  <si>
    <t>TS_023</t>
  </si>
  <si>
    <t>Validate the working of 'Bulk order/Wholesale' page functionality</t>
  </si>
  <si>
    <t>Validate the working of 'Shoppers worldwide' page functionality</t>
  </si>
  <si>
    <t>Amin Ocin</t>
  </si>
  <si>
    <t>Product Name</t>
  </si>
  <si>
    <t>fabrilife</t>
  </si>
  <si>
    <t>TC Start Date</t>
  </si>
  <si>
    <t>22/10/2023</t>
  </si>
  <si>
    <t>TC Execution Start Date</t>
  </si>
  <si>
    <t>TEST CASE</t>
  </si>
  <si>
    <t>Module Name</t>
  </si>
  <si>
    <t>Log in and Register</t>
  </si>
  <si>
    <t>TC End Date</t>
  </si>
  <si>
    <t>TC Execution End Date</t>
  </si>
  <si>
    <t>18/09/2022</t>
  </si>
  <si>
    <t>PASS</t>
  </si>
  <si>
    <t>Epic</t>
  </si>
  <si>
    <t>Test Case Developed By</t>
  </si>
  <si>
    <t>Browser (tested)</t>
  </si>
  <si>
    <t>Yes</t>
  </si>
  <si>
    <t>FAIL</t>
  </si>
  <si>
    <t>Developer Name (TL)</t>
  </si>
  <si>
    <t>Test Case Reviewed By</t>
  </si>
  <si>
    <t>Performance (tested)</t>
  </si>
  <si>
    <t>Not Executed</t>
  </si>
  <si>
    <t>Test Executed by</t>
  </si>
  <si>
    <t>Out of Scope</t>
  </si>
  <si>
    <t>TOTAL</t>
  </si>
  <si>
    <t>#SL</t>
  </si>
  <si>
    <t>Module</t>
  </si>
  <si>
    <t>Type of Testing</t>
  </si>
  <si>
    <t>Features</t>
  </si>
  <si>
    <t>Test Cases</t>
  </si>
  <si>
    <t>Exepected  Result</t>
  </si>
  <si>
    <t>Actual Result</t>
  </si>
  <si>
    <t>Test Data</t>
  </si>
  <si>
    <t>Reproducing
Steps</t>
  </si>
  <si>
    <t xml:space="preserve">Bug Screen Shot </t>
  </si>
  <si>
    <t>Dev Comments</t>
  </si>
  <si>
    <t>Final Status</t>
  </si>
  <si>
    <t>Remarks</t>
  </si>
  <si>
    <t>Browser 
Compatibility Testing</t>
  </si>
  <si>
    <t>Checking by running the site in different browsers</t>
  </si>
  <si>
    <t>Should run in different browsers</t>
  </si>
  <si>
    <t>Found as per expectation</t>
  </si>
  <si>
    <t>Chrome 
Internet Explorer Mozilla Firefox
Microsoft Edge
Opera Mini</t>
  </si>
  <si>
    <t>1. Goto different browsers
2. Search 'BD Shop'
3. Goto the website</t>
  </si>
  <si>
    <t>Passed</t>
  </si>
  <si>
    <t>User 
Management</t>
  </si>
  <si>
    <t>UI Testing</t>
  </si>
  <si>
    <t>Register</t>
  </si>
  <si>
    <t xml:space="preserve">Checking the grammers and spellings </t>
  </si>
  <si>
    <t>No spelling or grammatical mistakes</t>
  </si>
  <si>
    <t>N/A</t>
  </si>
  <si>
    <t>1. Goto the URL
https://www.fabrilife.com/
2. Click on Register button at the right corner
3.Check the grammer and spelling of current page</t>
  </si>
  <si>
    <t xml:space="preserve">Verifying the font, text color and style </t>
  </si>
  <si>
    <t>Should be as per the requirement</t>
  </si>
  <si>
    <t>1. Goto the URL
https://www.fabrilife.com/
2.Check the font, text color and style of current page</t>
  </si>
  <si>
    <t>Checking if the form fields are labeled</t>
  </si>
  <si>
    <t>Should be labeled correctly</t>
  </si>
  <si>
    <t>1. Goto the URL
https://www.fabrilife.com/
2.Check the field's label</t>
  </si>
  <si>
    <t>Verifying mandatory field is marked with a red asterisk</t>
  </si>
  <si>
    <t>Red asterisk should be present</t>
  </si>
  <si>
    <t>Not Found as per expectation</t>
  </si>
  <si>
    <t xml:space="preserve">1. Goto the URL
https://www.fabrilife.com/
2. Click on Register button at the right corner
3. Check if red asterisk is presented or not </t>
  </si>
  <si>
    <t>Failed</t>
  </si>
  <si>
    <t>Checking if the buttons are labeled</t>
  </si>
  <si>
    <t>Should be labeld correctly</t>
  </si>
  <si>
    <t>2. Click on Register button at the right corner</t>
  </si>
  <si>
    <t>Checking by hovering over the buttons</t>
  </si>
  <si>
    <t xml:space="preserve">Hover effect should be presented </t>
  </si>
  <si>
    <t>1. Goto the URL
https://www.fabrilife.com/
2. Click on Register button at the right corner
3.Hover over every button</t>
  </si>
  <si>
    <t>Checking by hovering over the fields</t>
  </si>
  <si>
    <t>A text should appear over the fields</t>
  </si>
  <si>
    <t>1. Goto the URL
https://www.fabrilife.com/
2. Click on Register button at the right corner
3.Hover over every fields</t>
  </si>
  <si>
    <t>Checking alignment of the fields</t>
  </si>
  <si>
    <t>Proper alignment of the fields should be present</t>
  </si>
  <si>
    <t>Checking the alignment of the text of buttons</t>
  </si>
  <si>
    <t xml:space="preserve">The alignment should be same </t>
  </si>
  <si>
    <t>1. Goto the URL
https://www.fabrilife.com/
2. Click on Register button at the right corner
3. Check if alignment of the text of buttons</t>
  </si>
  <si>
    <t>Wrong Alignment</t>
  </si>
  <si>
    <t>Varifying the spacing of the elements presented in that page</t>
  </si>
  <si>
    <t>There should be proper spacing presented</t>
  </si>
  <si>
    <t>1. Goto the URL
https://www.fabrilife.com/
2. Click on Register button at the right corner
3. Check the specing of elements</t>
  </si>
  <si>
    <t xml:space="preserve">Varify if the background colour is consistant with the application </t>
  </si>
  <si>
    <t xml:space="preserve">Colour consistancy should be present </t>
  </si>
  <si>
    <t>1. Goto the URL
https://www.fabrilife.com/
2. Click on Register button at the right corner
3. Check if the background color is consistant.</t>
  </si>
  <si>
    <t>Varifying the page has a clean and orgranized layout</t>
  </si>
  <si>
    <t>A clean and organized layout should be present</t>
  </si>
  <si>
    <t>1. Goto the URL
https://www.fabrilife.com/
2. Click on Register button at the right corner
3. Check the layout</t>
  </si>
  <si>
    <t>Varify the page on various screen sizes</t>
  </si>
  <si>
    <t>Should be displayed correctly on desktop, tablet and mobile.</t>
  </si>
  <si>
    <t>1. Goto the URL
https://www.fabrilife.com/
2. Click on Register button at the right corner
3. Check on different sized screen</t>
  </si>
  <si>
    <t>Varify the page responsivness</t>
  </si>
  <si>
    <t>Should be responsive</t>
  </si>
  <si>
    <t>1. Goto the URL
https://www.fabrilife.com/
2. Click on Register button at the right corner
3. Check if the page is responsive</t>
  </si>
  <si>
    <t>Varifying the accesibility of elements on smaller screen</t>
  </si>
  <si>
    <t>Should be accessible on smaller screen</t>
  </si>
  <si>
    <t>1. Goto the URL
https://www.fabrilife.com/
2. Click on Register button at the right corner
3. Check the accesibility of page element on smaller screen</t>
  </si>
  <si>
    <t>Functional Testing</t>
  </si>
  <si>
    <t>Keeping mandatory fields blank</t>
  </si>
  <si>
    <t>Sholud not allow user to register and pop an error message</t>
  </si>
  <si>
    <t>1. Goto the URL
https://www.fabrilife.com/
2. Click on Register button at the right corner
3. Keep mendatory field blank</t>
  </si>
  <si>
    <t>Checking Name field is case insensitive</t>
  </si>
  <si>
    <t>Should accept the provided input</t>
  </si>
  <si>
    <t>AAaakweuhJUNcjn</t>
  </si>
  <si>
    <t xml:space="preserve">1. Goto the URL
https://www.fabrilife.com/
2. Click on Register button at the right corner
3. Input name field with AAaakweuhJUNcjn </t>
  </si>
  <si>
    <t>Entering space at first position in name field</t>
  </si>
  <si>
    <t>Should not accept the provided input</t>
  </si>
  <si>
    <t xml:space="preserve">      space</t>
  </si>
  <si>
    <t>1.https://www.fabrilife.com
2. Click on Register button at the right corner
3. Input space at first position of name field</t>
  </si>
  <si>
    <t>Space at first 
position error</t>
  </si>
  <si>
    <t>Entering space at last position in name field</t>
  </si>
  <si>
    <t>Not found as per expectation</t>
  </si>
  <si>
    <t xml:space="preserve">space  </t>
  </si>
  <si>
    <t>1.https://www.fabrilife.com
2. Click on Register button at the right corner
3. Input space at last position of name field</t>
  </si>
  <si>
    <t>Space at last 
position error</t>
  </si>
  <si>
    <t>Checking alert message for all mandatory fields</t>
  </si>
  <si>
    <t>Should pop an error message</t>
  </si>
  <si>
    <t>1.https://www.fabrilife.com
2. Click on Register button at the right corner
3. check alert messege</t>
  </si>
  <si>
    <t>Checking if the Name field accepts special characteras an input</t>
  </si>
  <si>
    <t>@#$%</t>
  </si>
  <si>
    <t>1.https://www.fabrilife.com
2. Click on Register button at the right corner
3. Input @#$% at name field</t>
  </si>
  <si>
    <t>Special character
 error</t>
  </si>
  <si>
    <t>Checking if the Name field accepts Number as an input</t>
  </si>
  <si>
    <t>1.https://www.fabrilife.com
2. Click on Register button at the right corner
3. Input 60046 at name field</t>
  </si>
  <si>
    <t>Numbers error</t>
  </si>
  <si>
    <t>Checking if the Name field accepts decimal as an input</t>
  </si>
  <si>
    <t>1.https://www.fabrilife.com
2. Click on Register button at the right corner
3. Input 46.135 at name field</t>
  </si>
  <si>
    <t>Decimal numbers
 error</t>
  </si>
  <si>
    <t>Checking if the Name field accepts alphanumeric as an input</t>
  </si>
  <si>
    <t>Jack46</t>
  </si>
  <si>
    <t>1.https://www.fabrilife.com
2. Click on Register button at the right corner
3. Input jack46 at name field</t>
  </si>
  <si>
    <t>Checking if the Name field accepts alphabet as an input</t>
  </si>
  <si>
    <t>Jack</t>
  </si>
  <si>
    <t>1.https://www.fabrilife.com
2. Click on Register button at the right corner
3. Input Jack at name field</t>
  </si>
  <si>
    <t>Checking if the Name field accepts comma between alphabet as an input</t>
  </si>
  <si>
    <t>Jack,coin</t>
  </si>
  <si>
    <t>1.https://www.fabrilife.com
2. Click on Register button at the right corner
3. Input Jack,coin at name fieldlastname field</t>
  </si>
  <si>
    <t>Comma between 
alphabets error</t>
  </si>
  <si>
    <t>Checking if the Name field accepts space between alphabets as an input</t>
  </si>
  <si>
    <t>Jack Coin</t>
  </si>
  <si>
    <t>1.https://www.fabrilife.com
2. Click on Register button at the right corner
3. Input Jack Coin at name field in firstname and lastname field</t>
  </si>
  <si>
    <t xml:space="preserve">Checking if an email only be used one time </t>
  </si>
  <si>
    <t>Should not allow user to register and  display a pop message</t>
  </si>
  <si>
    <t>Found as per expectation with an error message</t>
  </si>
  <si>
    <t>sjekrul@gmail.com</t>
  </si>
  <si>
    <t>1.https://www.fabrilife.com
2. Click on Register button at the right corner
3. Fill the email address with already registered email</t>
  </si>
  <si>
    <t xml:space="preserve">Checking if the E-Mail Address field accepts invalid email </t>
  </si>
  <si>
    <t>Should not accept the provided input and display an error message</t>
  </si>
  <si>
    <t>sjekrul@@gmail.com
sjekrul@@gmail</t>
  </si>
  <si>
    <t>1.https://www.fabrilife.com
2. Click on Register button at the right corner
3. Input sjekrul@@gmail.com
sjekrul@@gmail at email field</t>
  </si>
  <si>
    <t xml:space="preserve">Checking if the E-Mail Address field accepts valid email </t>
  </si>
  <si>
    <t>1.https://www.fabrilife.com
2. Click on Register button at the right corner
3. Input sjekrul@gmail.com
at email field</t>
  </si>
  <si>
    <t>Checking if the Phone Number field accpets invalid formated phone number</t>
  </si>
  <si>
    <t>Should not acccept the provided input &amp; display a pop message</t>
  </si>
  <si>
    <t>17254569852,
12456879</t>
  </si>
  <si>
    <t>1.https://www.fabrilife.com
2. Click on Register button at the right corner
3. Input 17254569852,
12456879 at Phone Number field</t>
  </si>
  <si>
    <t xml:space="preserve">Checking the Phone Number field with a valid formated phone number </t>
  </si>
  <si>
    <t>01752554229</t>
  </si>
  <si>
    <t>1.https://www.fabrilife.com
2. Click on Register button at the right corner
3. Input 01863219221 at Phone Number field</t>
  </si>
  <si>
    <t>Checking Password and Confirm Password fields values are masked</t>
  </si>
  <si>
    <t>Should be masked</t>
  </si>
  <si>
    <t>jack046</t>
  </si>
  <si>
    <t>1. Goto the URL
https://www.bdshop.com/
2. Click on Register button at the right corner
3. Enter password and confirm password</t>
  </si>
  <si>
    <t xml:space="preserve">Checking if Password and Confirm Password fields accepts shorter length password </t>
  </si>
  <si>
    <t>Should not allow user to register and display a pop message</t>
  </si>
  <si>
    <t>jack46</t>
  </si>
  <si>
    <t>1.https://www.fabrilife.com
2. Click on Register button at the right corner
3. Input jack46 at Password field</t>
  </si>
  <si>
    <t xml:space="preserve">Checking if the Password and Confirm Password field accepts correct length password </t>
  </si>
  <si>
    <t>Should allow users to register</t>
  </si>
  <si>
    <t>jack12345</t>
  </si>
  <si>
    <t>1.https://www.fabrilife.com
2. Click on Register button at the right corner
3. Input 12345 at Password field</t>
  </si>
  <si>
    <t>Checking if the Password and Confirm Password field accepts two different password input</t>
  </si>
  <si>
    <t>jack12345
jack1234</t>
  </si>
  <si>
    <t>1.https://www.fabrilife.com
2. Click on Register button at the right corner
3. Enter invalid combinations of characters in password and confirm password</t>
  </si>
  <si>
    <t>Checking if th OTP is sent to the correct phone number or not</t>
  </si>
  <si>
    <t xml:space="preserve">Should sent an OTP to confirm phone number </t>
  </si>
  <si>
    <t>1.https://www.fabrilife.com
2. Click on Register button at the right corner
3. Click on register button and get an OTP at given number</t>
  </si>
  <si>
    <t>Checking 'Sign in with Facebook'</t>
  </si>
  <si>
    <t>Should allow user to register</t>
  </si>
  <si>
    <t>Click on 'Sign in with Facebook'</t>
  </si>
  <si>
    <t>1.https://www.fabrilife.com
2. Click on Register button at the right corner
3. Click on 'Sign in with Facebook'</t>
  </si>
  <si>
    <t>Sign up with 
facebook error</t>
  </si>
  <si>
    <t>Usability Testing</t>
  </si>
  <si>
    <t>Checking copy paste functionality in every field</t>
  </si>
  <si>
    <t>Should copy and paste text from fields</t>
  </si>
  <si>
    <t>Functioning successfully</t>
  </si>
  <si>
    <t>1.https://www.fabrilife.com
2. Click on Register button at the right corner
3. Copy paste text in every field</t>
  </si>
  <si>
    <t>Checking keyboard tab button functionality</t>
  </si>
  <si>
    <t>Should switch to another field and highlight text</t>
  </si>
  <si>
    <t>Enter tab in every field</t>
  </si>
  <si>
    <t>1.https://www.fabrilife.com
2. Click on Register button at the right corner
3. Enter tab in every field</t>
  </si>
  <si>
    <t>Checking undo functionality after inserting/deleting any field's data</t>
  </si>
  <si>
    <t>Should allow to undo inputs</t>
  </si>
  <si>
    <t>1.https://www.fabrilife.com
2. Click on Register button at the right corner
3. Click ctrl+Z button after inputing any data</t>
  </si>
  <si>
    <t>Checking keyboard enter button functionality</t>
  </si>
  <si>
    <t xml:space="preserve">Should switch to another field </t>
  </si>
  <si>
    <t>Input Enter in every field</t>
  </si>
  <si>
    <t>1.https://www.fabrilife.com
2. Click on Register button at the right corner
3. Enter enter in every field</t>
  </si>
  <si>
    <t xml:space="preserve">       UI Testing</t>
  </si>
  <si>
    <t>Log In</t>
  </si>
  <si>
    <t xml:space="preserve">Checking the log in page successfully appears or not </t>
  </si>
  <si>
    <t>Should appear the log in window</t>
  </si>
  <si>
    <t>Checking the font, text color, size of login window</t>
  </si>
  <si>
    <t xml:space="preserve">Should be present as per requirement </t>
  </si>
  <si>
    <t>1.https://www.fabrilife.com
2. Click on Login button at the right corner
3. Check the font color and size</t>
  </si>
  <si>
    <t xml:space="preserve">Checking all login related elements are present or not </t>
  </si>
  <si>
    <t xml:space="preserve">All elements should be present </t>
  </si>
  <si>
    <t>1.https://www.fabrilife.com
2. Click on Login button at the right corner
3.check all elements</t>
  </si>
  <si>
    <t>Text alignment should be same in every buttons</t>
  </si>
  <si>
    <t>1.https://www.fabrilife.com
2. Click on Login button at the right corner
3. Check the alignment of the text of buttons</t>
  </si>
  <si>
    <t>Wrong text 
Alignment</t>
  </si>
  <si>
    <r>
      <rPr>
        <sz val="11"/>
        <color theme="1"/>
        <rFont val="Calibri"/>
        <family val="2"/>
        <scheme val="minor"/>
      </rPr>
      <t>Checking the alignment of the fields</t>
    </r>
    <r>
      <rPr>
        <sz val="11"/>
        <color theme="1"/>
        <rFont val="Verdana"/>
        <family val="2"/>
        <charset val="1"/>
      </rPr>
      <t xml:space="preserve"> </t>
    </r>
  </si>
  <si>
    <t xml:space="preserve">There should be proper alignment </t>
  </si>
  <si>
    <t>1.https://www.fabrilife.com
2. Click on Login button at the right corner
3. Check the alignment of the fields</t>
  </si>
  <si>
    <t>Checking the page title for current window</t>
  </si>
  <si>
    <t xml:space="preserve">LogIn title should be present </t>
  </si>
  <si>
    <t>1.https://www.fabrilife.com
2. Click on Login button at the right corner
3. check the page title</t>
  </si>
  <si>
    <t>Checking when the log in page is opened, the cursor should remain in the E-mail Address field by deafult</t>
  </si>
  <si>
    <t xml:space="preserve">Cursor should be in Email field </t>
  </si>
  <si>
    <t>1.https://www.fabrilife.com
2. Click on Login button at the right corner
3. check the email field</t>
  </si>
  <si>
    <t xml:space="preserve">Checking if the password field has an eye button to see the password </t>
  </si>
  <si>
    <t>Eye button should be present</t>
  </si>
  <si>
    <t>1.https://www.fabrilife.com
2. Click on Login button at the right corner
3. check the password field</t>
  </si>
  <si>
    <t>Eye Button 
Error</t>
  </si>
  <si>
    <t>Checking the responsiveness of different sizes of screen</t>
  </si>
  <si>
    <t>1.https://www.fabrilife.com
2. Click on Login button at the right corner
3. check the responsivness on different sized screen</t>
  </si>
  <si>
    <t xml:space="preserve">Checking if the present a 'Remember Me' checkbox </t>
  </si>
  <si>
    <t>Remember Me checkbox should be present</t>
  </si>
  <si>
    <t xml:space="preserve">1.https://www.fabrilife.com
2. Click on Login button at the right corner
</t>
  </si>
  <si>
    <t xml:space="preserve">Checking if there is 'Forget Password' option is present </t>
  </si>
  <si>
    <t xml:space="preserve">Forget Password should be present </t>
  </si>
  <si>
    <t xml:space="preserve">Found as per expectation </t>
  </si>
  <si>
    <t>1.https://www.fabrilife.com
2. Click on Login button at the right corner</t>
  </si>
  <si>
    <t>Checking if there is a registration option in current window</t>
  </si>
  <si>
    <t>Regestration should be present in log in page</t>
  </si>
  <si>
    <t>Checking if there is Sign in with facebook option</t>
  </si>
  <si>
    <t>Sign in with facebook should be present</t>
  </si>
  <si>
    <t>Trying log in by keeping the fields blank</t>
  </si>
  <si>
    <t>Should not allow user to login and display an error messeage</t>
  </si>
  <si>
    <t>1. Goto the URL
https://www.fabrilife.com/
2. Click on login button at the right corner
3. Keep both the fields blank</t>
  </si>
  <si>
    <t>Trying log in by inputing correct credential</t>
  </si>
  <si>
    <t>Should allow to log in</t>
  </si>
  <si>
    <t>Email: sjekrul@gmail.com
Password: sojib@5555</t>
  </si>
  <si>
    <t>1. Goto the URL
https://www.fabrilife.com/
2. Click on login button at the right corner
3. Insert valid email and password</t>
  </si>
  <si>
    <t>Checking if the data in password is masked</t>
  </si>
  <si>
    <t>sojib@5555</t>
  </si>
  <si>
    <t>1. Goto the URL
https://www.fabrilife.com/
2. Click on login button at the right corner
3. Input values in password field and check if it is masked</t>
  </si>
  <si>
    <t>Checking login wrong credentials in email and password field</t>
  </si>
  <si>
    <t>Email: invalid@gmail.com
Password: 12345678</t>
  </si>
  <si>
    <t>1. Goto the URL
https://www.fabrilife.com/
2. Click on login button at the right corner
3. Input invalid credentials in email and password field</t>
  </si>
  <si>
    <t>Checking if there is an error messeage after putting wrong credentials</t>
  </si>
  <si>
    <t>Email: sjekrul@gmail.com
Password: sojib@55</t>
  </si>
  <si>
    <t>1. Goto the URL
https://www.fabrilife.com/
2. Click on login button at the right corner
3.Inser wrong credentials and click login button</t>
  </si>
  <si>
    <t xml:space="preserve">Checking if the remember me checkbox should mark as checked only after clicking  </t>
  </si>
  <si>
    <t>Should be checked only after click on it</t>
  </si>
  <si>
    <t>1. Goto the URL
https://www.fabrilife.com/
2. Click on login button at the right corner
3. Click on the Remember Me option</t>
  </si>
  <si>
    <t>Checking ‘Forgot Password’ functionality</t>
  </si>
  <si>
    <t>Should sent an email for recovering password</t>
  </si>
  <si>
    <t xml:space="preserve">1. Goto the URL
https://www.fabrilife.com/
2. Click on login button at the right corner
3.Click on 'Forgot Password'
</t>
  </si>
  <si>
    <t>Checking if the Sign in with facebook let the user to log in</t>
  </si>
  <si>
    <t xml:space="preserve">Should allow to sign in </t>
  </si>
  <si>
    <t>1. Goto the URL
https://www.fabrilife.com/
2. Click on login button at the right corner
3. Click on the Sign in with facebook button</t>
  </si>
  <si>
    <t>Sign in with 
facebook error</t>
  </si>
  <si>
    <t>Checking if the user can get a dashboard after logged in</t>
  </si>
  <si>
    <t>Should get a dashboard of current logged in user</t>
  </si>
  <si>
    <t xml:space="preserve">1. Goto the URL
https://www.fabrilife.com/
2. Click on Dashboard button at the right corner
</t>
  </si>
  <si>
    <t xml:space="preserve">Checking if the TAB and Enter button funtionality </t>
  </si>
  <si>
    <t xml:space="preserve">Tab/Enter buttons should work and should switch next field </t>
  </si>
  <si>
    <t>1. Goto the URL
https://www.fabrilife.com/
2. Click on login button at the right corner
3. Entering tab/Enter</t>
  </si>
  <si>
    <t>Improvement 
Scopes</t>
  </si>
  <si>
    <t>There can be a "Sign up/in with google" option</t>
  </si>
  <si>
    <t xml:space="preserve"> There can be a captcha option to prevent robot access</t>
  </si>
  <si>
    <t>The email can be varified while registering/creating user account</t>
  </si>
  <si>
    <t>Amin ocin</t>
  </si>
  <si>
    <t>missing red asterisk</t>
  </si>
  <si>
    <t>Test Case Report</t>
  </si>
  <si>
    <t xml:space="preserve">   Project Name   </t>
  </si>
  <si>
    <t xml:space="preserve">Module Name   </t>
  </si>
  <si>
    <t>Register &amp; Log in</t>
  </si>
  <si>
    <t>Test Case Version</t>
  </si>
  <si>
    <t>Written By</t>
  </si>
  <si>
    <t>Executed By</t>
  </si>
  <si>
    <t>Reviewed By</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</si>
  <si>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</si>
  <si>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</si>
  <si>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</si>
  <si>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</si>
  <si>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</si>
  <si>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</si>
  <si>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</si>
  <si>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</si>
  <si>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</si>
  <si>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</si>
  <si>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</si>
  <si>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</si>
  <si>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</si>
  <si>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</si>
  <si>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</si>
  <si>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</si>
  <si>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</si>
  <si>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</si>
  <si>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</si>
  <si>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</si>
  <si>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</si>
  <si>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</si>
  <si>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</si>
  <si>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</si>
  <si>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</si>
  <si>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</si>
  <si>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</si>
  <si>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20-10-2025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</si>
</sst>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Calibri"/>
      <family val="2"/>
      <scheme val="minor"/>
    </font>
    <font>
      <b/>
      <sz val="11"/>
      <color theme="1"/>
      <name val="Calibri"/>
      <family val="2"/>
      <scheme val="minor"/>
    </font>
    <font>
      <sz val="10"/>
      <color rgb="FFFFFFFF"/>
      <name val="Verdana"/>
    </font>
    <font>
      <sz val="10"/>
      <color rgb="FF000000"/>
      <name val="Verdana"/>
    </font>
    <font>
      <sz val="10"/>
      <name val="Arial"/>
    </font>
    <font>
      <b/>
      <sz val="10"/>
      <color rgb="FFFFFFFF"/>
      <name val="Verdana"/>
    </font>
    <font>
      <u/>
      <sz val="11"/>
      <color theme="10"/>
      <name val="Calibri"/>
      <family val="2"/>
      <scheme val="minor"/>
    </font>
    <font>
      <b/>
      <sz val="10"/>
      <color rgb="FF000000"/>
      <name val="Calibri"/>
      <family val="2"/>
      <charset val="1"/>
    </font>
    <font>
      <sz val="10"/>
      <color rgb="FF000000"/>
      <name val="Calibri"/>
      <family val="2"/>
      <charset val="1"/>
    </font>
    <font>
      <sz val="10"/>
      <color rgb="FF000000"/>
      <name val="Verdana"/>
      <family val="2"/>
      <charset val="1"/>
    </font>
    <font>
      <b/>
      <sz val="10"/>
      <name val="Verdana"/>
      <family val="2"/>
      <charset val="1"/>
    </font>
    <font>
      <b/>
      <sz val="10"/>
      <color rgb="FF000000"/>
      <name val="Verdana"/>
      <family val="2"/>
      <charset val="1"/>
    </font>
    <font>
      <sz val="10"/>
      <name val="Verdana"/>
      <family val="2"/>
      <charset val="1"/>
    </font>
    <font>
      <b/>
      <sz val="10"/>
      <color rgb="FFFFFFFF"/>
      <name val="Verdana"/>
      <family val="2"/>
      <charset val="1"/>
    </font>
    <font>
      <sz val="10"/>
      <color rgb="FF000000"/>
      <name val="Arial"/>
      <family val="2"/>
      <charset val="1"/>
    </font>
    <font>
      <sz val="11"/>
      <color rgb="FF000000"/>
      <name val="Calibri"/>
      <family val="2"/>
      <charset val="1"/>
    </font>
    <font>
      <b/>
      <sz val="11"/>
      <color rgb="FF000000"/>
      <name val="Calibri"/>
      <family val="2"/>
      <charset val="1"/>
    </font>
    <font>
      <sz val="11"/>
      <name val="Calibri"/>
      <family val="2"/>
      <charset val="1"/>
    </font>
    <font>
      <b/>
      <sz val="11"/>
      <name val="Calibri"/>
      <family val="2"/>
      <charset val="1"/>
    </font>
    <font>
      <sz val="11"/>
      <color rgb="FFFFFFFF"/>
      <name val="Calibri"/>
      <family val="2"/>
      <charset val="1"/>
    </font>
    <font>
      <sz val="11"/>
      <color rgb="FF0000FF"/>
      <name val="Calibri"/>
      <family val="2"/>
      <charset val="1"/>
    </font>
    <font>
      <sz val="11"/>
      <color rgb="FF000000"/>
      <name val="Calibri"/>
      <family val="2"/>
    </font>
    <font>
      <sz val="11"/>
      <color rgb="FF808080"/>
      <name val="Calibri"/>
      <family val="2"/>
      <charset val="1"/>
    </font>
    <font>
      <sz val="11"/>
      <color rgb="FF808080"/>
      <name val="Verdana"/>
      <family val="2"/>
      <charset val="1"/>
    </font>
    <font>
      <sz val="11"/>
      <color rgb="FF000000"/>
      <name val="Calibri Light"/>
      <family val="2"/>
      <scheme val="major"/>
    </font>
    <font>
      <b/>
      <sz val="11"/>
      <name val="Calibri Light"/>
      <family val="2"/>
      <scheme val="major"/>
    </font>
    <font>
      <sz val="11"/>
      <color rgb="FF808080"/>
      <name val="Calibri Light"/>
      <family val="2"/>
      <scheme val="major"/>
    </font>
    <font>
      <sz val="11"/>
      <color theme="1"/>
      <name val="Calibri"/>
      <family val="2"/>
      <charset val="1"/>
    </font>
    <font>
      <sz val="11"/>
      <color theme="1"/>
      <name val="Verdana"/>
      <family val="2"/>
      <charset val="1"/>
    </font>
    <font>
      <sz val="11"/>
      <color theme="1"/>
      <name val="Calibri"/>
      <family val="2"/>
    </font>
    <font>
      <sz val="11"/>
      <color rgb="FF000000"/>
      <name val="Verdana"/>
      <family val="2"/>
      <charset val="1"/>
    </font>
    <font>
      <b/>
      <sz val="11"/>
      <color rgb="FFFFFFFF"/>
      <name val="Times New Roman"/>
      <family val="1"/>
      <charset val="1"/>
    </font>
    <font>
      <sz val="11"/>
      <color rgb="FFFFFFFF"/>
      <name val="Times New Roman"/>
      <family val="1"/>
      <charset val="1"/>
    </font>
    <font>
      <b/>
      <sz val="11"/>
      <color rgb="FF000000"/>
      <name val="Verdana"/>
      <family val="2"/>
      <charset val="1"/>
    </font>
    <font>
      <b/>
      <sz val="11"/>
      <color rgb="FFFFFFFF"/>
      <name val="Verdana"/>
      <family val="2"/>
      <charset val="1"/>
    </font>
    <font>
      <sz val="11"/>
      <color rgb="FFFFFFFF"/>
      <name val="Verdana"/>
      <family val="2"/>
      <charset val="1"/>
    </font>
    <font>
      <sz val="11"/>
      <name val="Verdana"/>
      <family val="2"/>
      <charset val="1"/>
    </font>
    <font>
      <b/>
      <sz val="24"/>
      <color rgb="FFFFFFFF"/>
      <name val="Calibri"/>
      <family val="2"/>
      <charset val="1"/>
    </font>
    <font>
      <b/>
      <sz val="14"/>
      <name val="Calibri"/>
      <family val="2"/>
      <charset val="1"/>
    </font>
    <font>
      <b/>
      <sz val="12"/>
      <name val="Calibri"/>
      <family val="2"/>
      <charset val="1"/>
    </font>
    <font>
      <b/>
      <sz val="11"/>
      <name val="Comfortaa"/>
      <charset val="1"/>
    </font>
    <font>
      <b/>
      <sz val="12"/>
      <name val="Calibri"/>
      <family val="2"/>
    </font>
    <font>
      <i/>
      <sz val="20"/>
      <name val="Calibri"/>
      <family val="2"/>
    </font>
    <font>
      <i/>
      <sz val="20"/>
      <color rgb="FF000000"/>
      <name val="Calibri"/>
      <family val="2"/>
    </font>
    <font>
      <b/>
      <sz val="22"/>
      <name val="Calibri"/>
      <family val="2"/>
      <charset val="1"/>
    </font>
    <font>
      <sz val="10"/>
      <name val="Arial"/>
      <family val="2"/>
      <charset val="1"/>
    </font>
    <font>
      <b/>
      <sz val="10"/>
      <color rgb="FF000000"/>
      <name val="Arial"/>
      <family val="2"/>
      <charset val="1"/>
    </font>
    <font>
      <b/>
      <sz val="16"/>
      <color rgb="FF000000"/>
      <name val="Arial"/>
      <family val="2"/>
    </font>
    <font>
      <b/>
      <sz val="12"/>
      <color rgb="FF000000"/>
      <name val="Arial"/>
      <family val="2"/>
    </font>
    <font>
      <b/>
      <sz val="12"/>
      <color rgb="FF000000"/>
      <name val="Arial"/>
      <family val="2"/>
      <charset val="1"/>
    </font>
    <font>
      <i/>
      <sz val="12"/>
      <color rgb="FF000000"/>
      <name val="Arial"/>
      <family val="2"/>
    </font>
  </fonts>
  <fills count="35">
    <fill>
      <patternFill patternType="none"/>
    </fill>
    <fill>
      <patternFill patternType="gray125"/>
    </fill>
    <fill>
      <patternFill patternType="solid">
        <fgColor rgb="FF305496"/>
        <bgColor rgb="FF305496"/>
      </patternFill>
    </fill>
    <fill>
      <patternFill patternType="solid">
        <fgColor rgb="FFDBEEF4"/>
        <bgColor rgb="FFDCE6F2"/>
      </patternFill>
    </fill>
    <fill>
      <patternFill patternType="solid">
        <fgColor rgb="FFC6D9F0"/>
        <bgColor rgb="FFB6DDE8"/>
      </patternFill>
    </fill>
    <fill>
      <patternFill patternType="solid">
        <fgColor rgb="FF00FF00"/>
        <bgColor rgb="FF99FF66"/>
      </patternFill>
    </fill>
    <fill>
      <patternFill patternType="solid">
        <fgColor rgb="FFD6E3BC"/>
        <bgColor rgb="FFD9EAD3"/>
      </patternFill>
    </fill>
    <fill>
      <patternFill patternType="solid">
        <fgColor rgb="FFFF0000"/>
        <bgColor rgb="FFCC4125"/>
      </patternFill>
    </fill>
    <fill>
      <patternFill patternType="solid">
        <fgColor rgb="FFFFFF00"/>
        <bgColor rgb="FFFFC000"/>
      </patternFill>
    </fill>
    <fill>
      <patternFill patternType="solid">
        <fgColor rgb="FFFAC090"/>
        <bgColor rgb="FFE6B9B8"/>
      </patternFill>
    </fill>
    <fill>
      <patternFill patternType="solid">
        <fgColor rgb="FF002060"/>
        <bgColor rgb="FF000080"/>
      </patternFill>
    </fill>
    <fill>
      <patternFill patternType="solid">
        <fgColor rgb="FFFFFFFF"/>
        <bgColor rgb="FFF2F2F2"/>
      </patternFill>
    </fill>
    <fill>
      <patternFill patternType="solid">
        <fgColor rgb="FFBFBFBF"/>
        <bgColor rgb="FFCCC1DA"/>
      </patternFill>
    </fill>
    <fill>
      <patternFill patternType="solid">
        <fgColor rgb="FFD9D9D9"/>
        <bgColor rgb="FFD6E3BC"/>
      </patternFill>
    </fill>
    <fill>
      <patternFill patternType="solid">
        <fgColor theme="0"/>
        <bgColor indexed="64"/>
      </patternFill>
    </fill>
    <fill>
      <patternFill patternType="solid">
        <fgColor theme="0"/>
        <bgColor rgb="FFD6E3BC"/>
      </patternFill>
    </fill>
    <fill>
      <patternFill patternType="solid">
        <fgColor theme="9" tint="0.39994506668294322"/>
        <bgColor rgb="FFD6E3BC"/>
      </patternFill>
    </fill>
    <fill>
      <patternFill patternType="solid">
        <fgColor rgb="FFC7391A"/>
        <bgColor rgb="FFC00000"/>
      </patternFill>
    </fill>
    <fill>
      <patternFill patternType="solid">
        <fgColor theme="9" tint="0.39997558519241921"/>
        <bgColor rgb="FFD6E3BC"/>
      </patternFill>
    </fill>
    <fill>
      <patternFill patternType="solid">
        <fgColor rgb="FFC6391A"/>
        <bgColor rgb="FFC7391A"/>
      </patternFill>
    </fill>
    <fill>
      <patternFill patternType="solid">
        <fgColor theme="0"/>
        <bgColor rgb="FFE6B9B8"/>
      </patternFill>
    </fill>
    <fill>
      <patternFill patternType="solid">
        <fgColor rgb="FF0070C0"/>
        <bgColor rgb="FF008080"/>
      </patternFill>
    </fill>
    <fill>
      <patternFill patternType="solid">
        <fgColor rgb="FFF2DBDB"/>
        <bgColor rgb="FFD9D9D9"/>
      </patternFill>
    </fill>
    <fill>
      <patternFill patternType="solid">
        <fgColor rgb="FFB6DDE8"/>
        <bgColor rgb="FFC6D9F0"/>
      </patternFill>
    </fill>
    <fill>
      <patternFill patternType="solid">
        <fgColor rgb="FFDCE6F2"/>
        <bgColor rgb="FFDBEEF4"/>
      </patternFill>
    </fill>
    <fill>
      <patternFill patternType="solid">
        <fgColor rgb="FFA4C2F4"/>
        <bgColor rgb="FF95B3D7"/>
      </patternFill>
    </fill>
    <fill>
      <patternFill patternType="solid">
        <fgColor rgb="FFD9EAD3"/>
        <bgColor rgb="FFD6E3BC"/>
      </patternFill>
    </fill>
    <fill>
      <patternFill patternType="solid">
        <fgColor rgb="FF99FF66"/>
        <bgColor rgb="FFC3D69B"/>
      </patternFill>
    </fill>
    <fill>
      <patternFill patternType="solid">
        <fgColor rgb="FFFF6600"/>
        <bgColor rgb="FFCC4125"/>
      </patternFill>
    </fill>
    <fill>
      <patternFill patternType="solid">
        <fgColor rgb="FFFFFF99"/>
        <bgColor rgb="FFFFE599"/>
      </patternFill>
    </fill>
    <fill>
      <patternFill patternType="solid">
        <fgColor rgb="FFCCC1DA"/>
        <bgColor rgb="FFBFBFBF"/>
      </patternFill>
    </fill>
    <fill>
      <patternFill patternType="solid">
        <fgColor rgb="FFE6B9B8"/>
        <bgColor rgb="FFFAC090"/>
      </patternFill>
    </fill>
    <fill>
      <patternFill patternType="solid">
        <fgColor rgb="FFC3D69B"/>
        <bgColor rgb="FFD6E3BC"/>
      </patternFill>
    </fill>
    <fill>
      <patternFill patternType="solid">
        <fgColor rgb="FFEBF1DE"/>
        <bgColor rgb="FFF2F2F2"/>
      </patternFill>
    </fill>
    <fill>
      <patternFill patternType="solid">
        <fgColor rgb="FFB3A2C7"/>
        <bgColor rgb="FF95B3D7"/>
      </patternFill>
    </fill>
  </fills>
  <borders count="36">
    <border>
      <left/>
      <right/>
      <top/>
      <bottom/>
      <diagonal/>
    </border>
    <border>
      <left style="thin">
        <color rgb="FFFFFFFF"/>
      </left>
      <right/>
      <top/>
      <bottom style="thin">
        <color rgb="FFFFFFFF"/>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thin">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style="thin">
        <color auto="1"/>
      </right>
      <top/>
      <bottom style="thin">
        <color auto="1"/>
      </bottom>
      <diagonal/>
    </border>
    <border>
      <left/>
      <right style="medium">
        <color auto="1"/>
      </right>
      <top/>
      <bottom style="thin">
        <color auto="1"/>
      </bottom>
      <diagonal/>
    </border>
    <border>
      <left/>
      <right style="thin">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s>
  <cellStyleXfs count="2">
    <xf numFmtId="0" fontId="0" fillId="0" borderId="0"/>
    <xf numFmtId="0" fontId="6" fillId="0" borderId="0" applyNumberFormat="0" applyFill="0" applyBorder="0" applyAlignment="0" applyProtection="0"/>
  </cellStyleXfs>
  <cellXfs count="190">
    <xf numFmtId="0" fontId="0" fillId="0" borderId="0" xfId="0"/>
    <xf numFmtId="0" fontId="2" fillId="2" borderId="1"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3" fillId="0" borderId="7" xfId="0" applyFont="1" applyBorder="1" applyAlignment="1">
      <alignment horizontal="center" vertical="top"/>
    </xf>
    <xf numFmtId="0" fontId="3" fillId="0" borderId="3" xfId="0" applyFont="1" applyBorder="1" applyAlignment="1">
      <alignment horizontal="center" vertical="top"/>
    </xf>
    <xf numFmtId="0" fontId="3" fillId="0" borderId="3" xfId="0" applyFont="1" applyBorder="1" applyAlignment="1">
      <alignment vertical="top"/>
    </xf>
    <xf numFmtId="0" fontId="3" fillId="0" borderId="8" xfId="0" applyFont="1" applyBorder="1" applyAlignment="1">
      <alignment horizontal="center" vertical="top"/>
    </xf>
    <xf numFmtId="0" fontId="3" fillId="0" borderId="9" xfId="0" applyFont="1" applyBorder="1" applyAlignment="1">
      <alignment horizontal="center" vertical="top"/>
    </xf>
    <xf numFmtId="0" fontId="3" fillId="0" borderId="9" xfId="0" applyFont="1" applyBorder="1" applyAlignment="1">
      <alignment vertical="top"/>
    </xf>
    <xf numFmtId="0" fontId="2" fillId="2" borderId="10" xfId="0" applyFont="1" applyFill="1" applyBorder="1" applyAlignment="1">
      <alignment horizontal="center" vertical="top" wrapText="1"/>
    </xf>
    <xf numFmtId="0" fontId="6" fillId="0" borderId="0" xfId="1" applyAlignment="1">
      <alignment horizontal="center" vertical="center"/>
    </xf>
    <xf numFmtId="0" fontId="7" fillId="3" borderId="13" xfId="0" applyFont="1" applyFill="1" applyBorder="1" applyAlignment="1">
      <alignment horizontal="center" vertical="center" wrapText="1"/>
    </xf>
    <xf numFmtId="0" fontId="8" fillId="0" borderId="13" xfId="0" applyFont="1" applyBorder="1" applyAlignment="1">
      <alignment horizontal="center" vertical="center" wrapText="1"/>
    </xf>
    <xf numFmtId="0" fontId="7" fillId="3" borderId="13" xfId="0" applyFont="1" applyFill="1" applyBorder="1" applyAlignment="1">
      <alignment vertical="center" wrapText="1"/>
    </xf>
    <xf numFmtId="0" fontId="9" fillId="0" borderId="0" xfId="0" applyFont="1" applyAlignment="1">
      <alignment horizontal="left"/>
    </xf>
    <xf numFmtId="0" fontId="9" fillId="0" borderId="0" xfId="0" applyFont="1" applyAlignment="1">
      <alignment wrapText="1"/>
    </xf>
    <xf numFmtId="0" fontId="9" fillId="0" borderId="0" xfId="0" applyFont="1"/>
    <xf numFmtId="0" fontId="8" fillId="0" borderId="15" xfId="0" applyFont="1" applyBorder="1" applyAlignment="1">
      <alignment horizontal="center" vertical="center" wrapText="1"/>
    </xf>
    <xf numFmtId="0" fontId="7" fillId="3" borderId="15" xfId="0" applyFont="1" applyFill="1" applyBorder="1" applyAlignment="1">
      <alignment horizontal="center" vertical="center" wrapText="1"/>
    </xf>
    <xf numFmtId="0" fontId="7" fillId="3" borderId="15" xfId="0" applyFont="1" applyFill="1" applyBorder="1" applyAlignment="1">
      <alignment vertical="center" wrapText="1"/>
    </xf>
    <xf numFmtId="0" fontId="11" fillId="5" borderId="16" xfId="0" applyFont="1" applyFill="1" applyBorder="1" applyAlignment="1">
      <alignment horizontal="center" vertical="center" wrapText="1"/>
    </xf>
    <xf numFmtId="0" fontId="12" fillId="6" borderId="17" xfId="0" applyFont="1" applyFill="1" applyBorder="1" applyAlignment="1">
      <alignment horizontal="center" wrapText="1"/>
    </xf>
    <xf numFmtId="0" fontId="7" fillId="0" borderId="15" xfId="0" applyFont="1" applyBorder="1" applyAlignment="1">
      <alignment vertical="center" wrapText="1"/>
    </xf>
    <xf numFmtId="0" fontId="13" fillId="7" borderId="16" xfId="0" applyFont="1" applyFill="1" applyBorder="1" applyAlignment="1">
      <alignment horizontal="center" vertical="center" wrapText="1"/>
    </xf>
    <xf numFmtId="0" fontId="10" fillId="8" borderId="16" xfId="0" applyFont="1" applyFill="1" applyBorder="1" applyAlignment="1">
      <alignment horizontal="center" vertical="center" wrapText="1"/>
    </xf>
    <xf numFmtId="0" fontId="9" fillId="9" borderId="0" xfId="0" applyFont="1" applyFill="1" applyAlignment="1">
      <alignment horizontal="left"/>
    </xf>
    <xf numFmtId="0" fontId="9" fillId="9" borderId="0" xfId="0" applyFont="1" applyFill="1" applyAlignment="1">
      <alignment wrapText="1"/>
    </xf>
    <xf numFmtId="0" fontId="10" fillId="9" borderId="16" xfId="0" applyFont="1" applyFill="1" applyBorder="1" applyAlignment="1">
      <alignment horizontal="center" vertical="center" wrapText="1"/>
    </xf>
    <xf numFmtId="0" fontId="12" fillId="9" borderId="17" xfId="0" applyFont="1" applyFill="1" applyBorder="1" applyAlignment="1">
      <alignment horizontal="center" wrapText="1"/>
    </xf>
    <xf numFmtId="0" fontId="9" fillId="0" borderId="0" xfId="0" applyFont="1" applyAlignment="1">
      <alignment horizontal="left" vertical="center"/>
    </xf>
    <xf numFmtId="0" fontId="10" fillId="4" borderId="18" xfId="0" applyFont="1" applyFill="1" applyBorder="1" applyAlignment="1">
      <alignment horizontal="center" vertical="center" wrapText="1"/>
    </xf>
    <xf numFmtId="0" fontId="10" fillId="6" borderId="19" xfId="0" applyFont="1" applyFill="1" applyBorder="1" applyAlignment="1">
      <alignment horizontal="center" wrapText="1"/>
    </xf>
    <xf numFmtId="0" fontId="15" fillId="11" borderId="12" xfId="0" applyFont="1" applyFill="1" applyBorder="1" applyAlignment="1">
      <alignment horizontal="left" vertical="top" wrapText="1"/>
    </xf>
    <xf numFmtId="0" fontId="17" fillId="0" borderId="12" xfId="0" applyFont="1" applyBorder="1" applyAlignment="1">
      <alignment horizontal="left" vertical="center"/>
    </xf>
    <xf numFmtId="0" fontId="15" fillId="12" borderId="12" xfId="0" applyFont="1" applyFill="1" applyBorder="1" applyAlignment="1">
      <alignment horizontal="left" vertical="center"/>
    </xf>
    <xf numFmtId="0" fontId="17" fillId="0" borderId="12" xfId="0" applyFont="1" applyBorder="1" applyAlignment="1">
      <alignment vertical="center"/>
    </xf>
    <xf numFmtId="0" fontId="19" fillId="11" borderId="12" xfId="0" applyFont="1" applyFill="1" applyBorder="1" applyAlignment="1">
      <alignment horizontal="left" vertical="center"/>
    </xf>
    <xf numFmtId="0" fontId="15" fillId="12" borderId="12" xfId="0" applyFont="1" applyFill="1" applyBorder="1" applyAlignment="1">
      <alignment horizontal="left" vertical="top" wrapText="1"/>
    </xf>
    <xf numFmtId="0" fontId="17" fillId="12" borderId="12" xfId="0" applyFont="1" applyFill="1" applyBorder="1" applyAlignment="1">
      <alignment vertical="center"/>
    </xf>
    <xf numFmtId="0" fontId="19" fillId="12" borderId="12" xfId="0" applyFont="1" applyFill="1" applyBorder="1" applyAlignment="1">
      <alignment horizontal="left" vertical="center"/>
    </xf>
    <xf numFmtId="0" fontId="15" fillId="0" borderId="12" xfId="0" applyFont="1" applyBorder="1" applyAlignment="1">
      <alignment horizontal="left" vertical="center" wrapText="1"/>
    </xf>
    <xf numFmtId="0" fontId="15" fillId="0" borderId="12" xfId="0" applyFont="1" applyBorder="1" applyAlignment="1">
      <alignment horizontal="left" vertical="top" wrapText="1"/>
    </xf>
    <xf numFmtId="0" fontId="15" fillId="0" borderId="12" xfId="0" applyFont="1" applyBorder="1" applyAlignment="1">
      <alignment horizontal="left" vertical="center"/>
    </xf>
    <xf numFmtId="0" fontId="17" fillId="0" borderId="12" xfId="0" applyFont="1" applyBorder="1" applyAlignment="1">
      <alignment horizontal="left" vertical="center" wrapText="1"/>
    </xf>
    <xf numFmtId="0" fontId="20" fillId="0" borderId="12" xfId="0" applyFont="1" applyBorder="1" applyAlignment="1">
      <alignment horizontal="left" vertical="top" wrapText="1"/>
    </xf>
    <xf numFmtId="0" fontId="17" fillId="12" borderId="12" xfId="0" applyFont="1" applyFill="1" applyBorder="1" applyAlignment="1">
      <alignment horizontal="left" vertical="center"/>
    </xf>
    <xf numFmtId="0" fontId="22" fillId="13" borderId="12" xfId="0" applyFont="1" applyFill="1" applyBorder="1" applyAlignment="1">
      <alignment horizontal="left" vertical="center" wrapText="1"/>
    </xf>
    <xf numFmtId="0" fontId="22" fillId="13" borderId="12" xfId="0" applyFont="1" applyFill="1" applyBorder="1" applyAlignment="1">
      <alignment horizontal="left" vertical="center"/>
    </xf>
    <xf numFmtId="0" fontId="26" fillId="15" borderId="12" xfId="0" applyFont="1" applyFill="1" applyBorder="1" applyAlignment="1">
      <alignment horizontal="left" vertical="center"/>
    </xf>
    <xf numFmtId="0" fontId="24" fillId="14" borderId="12" xfId="0" applyFont="1" applyFill="1" applyBorder="1" applyAlignment="1">
      <alignment horizontal="left" vertical="center"/>
    </xf>
    <xf numFmtId="0" fontId="29" fillId="18" borderId="12" xfId="0" applyFont="1" applyFill="1" applyBorder="1" applyAlignment="1">
      <alignment horizontal="left" vertical="center"/>
    </xf>
    <xf numFmtId="0" fontId="27" fillId="15" borderId="12" xfId="0" applyFont="1" applyFill="1" applyBorder="1" applyAlignment="1">
      <alignment horizontal="left" vertical="center"/>
    </xf>
    <xf numFmtId="0" fontId="27" fillId="14" borderId="12" xfId="0" applyFont="1" applyFill="1" applyBorder="1" applyAlignment="1">
      <alignment horizontal="left" vertical="center"/>
    </xf>
    <xf numFmtId="0" fontId="29" fillId="19" borderId="12" xfId="0" applyFont="1" applyFill="1" applyBorder="1" applyAlignment="1">
      <alignment horizontal="left" vertical="center"/>
    </xf>
    <xf numFmtId="0" fontId="17" fillId="12" borderId="12" xfId="0" applyFont="1" applyFill="1" applyBorder="1" applyAlignment="1">
      <alignment horizontal="left" vertical="center" wrapText="1"/>
    </xf>
    <xf numFmtId="0" fontId="31" fillId="10" borderId="20" xfId="0" applyFont="1" applyFill="1" applyBorder="1" applyAlignment="1">
      <alignment horizontal="left" vertical="center"/>
    </xf>
    <xf numFmtId="0" fontId="31" fillId="10" borderId="20" xfId="0" applyFont="1" applyFill="1" applyBorder="1" applyAlignment="1">
      <alignment horizontal="center" vertical="center"/>
    </xf>
    <xf numFmtId="0" fontId="31" fillId="10" borderId="20" xfId="0" applyFont="1" applyFill="1" applyBorder="1" applyAlignment="1">
      <alignment horizontal="center" vertical="top" wrapText="1"/>
    </xf>
    <xf numFmtId="0" fontId="31" fillId="10" borderId="20" xfId="0" applyFont="1" applyFill="1" applyBorder="1" applyAlignment="1">
      <alignment horizontal="center" vertical="top"/>
    </xf>
    <xf numFmtId="0" fontId="32" fillId="10" borderId="20" xfId="0" applyFont="1" applyFill="1" applyBorder="1"/>
    <xf numFmtId="0" fontId="33" fillId="11" borderId="12" xfId="0" applyFont="1" applyFill="1" applyBorder="1" applyAlignment="1">
      <alignment horizontal="center" vertical="top"/>
    </xf>
    <xf numFmtId="0" fontId="30" fillId="11" borderId="12" xfId="0" applyFont="1" applyFill="1" applyBorder="1"/>
    <xf numFmtId="0" fontId="33" fillId="12" borderId="12" xfId="0" applyFont="1" applyFill="1" applyBorder="1" applyAlignment="1">
      <alignment horizontal="center" vertical="center"/>
    </xf>
    <xf numFmtId="0" fontId="33" fillId="12" borderId="12" xfId="0" applyFont="1" applyFill="1" applyBorder="1" applyAlignment="1">
      <alignment horizontal="center" vertical="top"/>
    </xf>
    <xf numFmtId="0" fontId="30" fillId="12" borderId="12" xfId="0" applyFont="1" applyFill="1" applyBorder="1"/>
    <xf numFmtId="0" fontId="34" fillId="11" borderId="12" xfId="0" applyFont="1" applyFill="1" applyBorder="1" applyAlignment="1">
      <alignment horizontal="center" vertical="top"/>
    </xf>
    <xf numFmtId="0" fontId="35" fillId="11" borderId="12" xfId="0" applyFont="1" applyFill="1" applyBorder="1"/>
    <xf numFmtId="0" fontId="0" fillId="16" borderId="12" xfId="0" applyFill="1" applyBorder="1" applyAlignment="1">
      <alignment horizontal="left" vertical="center"/>
    </xf>
    <xf numFmtId="0" fontId="0" fillId="17" borderId="12" xfId="0" applyFill="1" applyBorder="1" applyAlignment="1">
      <alignment horizontal="left" vertical="center"/>
    </xf>
    <xf numFmtId="0" fontId="0" fillId="18" borderId="12" xfId="0" applyFill="1" applyBorder="1" applyAlignment="1">
      <alignment horizontal="left" vertical="center"/>
    </xf>
    <xf numFmtId="0" fontId="0" fillId="15" borderId="12" xfId="0" applyFill="1" applyBorder="1" applyAlignment="1">
      <alignment horizontal="left" vertical="center"/>
    </xf>
    <xf numFmtId="0" fontId="0" fillId="14" borderId="12" xfId="0" applyFill="1" applyBorder="1" applyAlignment="1">
      <alignment horizontal="left" vertical="center"/>
    </xf>
    <xf numFmtId="0" fontId="15" fillId="12" borderId="12" xfId="0" applyFont="1" applyFill="1" applyBorder="1" applyAlignment="1">
      <alignment horizontal="left" vertical="top"/>
    </xf>
    <xf numFmtId="0" fontId="15" fillId="11" borderId="12" xfId="0" applyFont="1" applyFill="1" applyBorder="1" applyAlignment="1">
      <alignment horizontal="left" vertical="top"/>
    </xf>
    <xf numFmtId="0" fontId="15" fillId="0" borderId="12" xfId="0" applyFont="1" applyBorder="1" applyAlignment="1">
      <alignment horizontal="left" vertical="top"/>
    </xf>
    <xf numFmtId="0" fontId="24" fillId="14" borderId="12" xfId="0" applyFont="1" applyFill="1" applyBorder="1" applyAlignment="1">
      <alignment horizontal="left" vertical="top"/>
    </xf>
    <xf numFmtId="0" fontId="27" fillId="14" borderId="12" xfId="0" applyFont="1" applyFill="1" applyBorder="1" applyAlignment="1">
      <alignment horizontal="left" vertical="top"/>
    </xf>
    <xf numFmtId="0" fontId="0" fillId="14" borderId="12" xfId="0" applyFill="1" applyBorder="1" applyAlignment="1">
      <alignment horizontal="left" vertical="top"/>
    </xf>
    <xf numFmtId="0" fontId="36" fillId="0" borderId="12" xfId="0" applyFont="1" applyBorder="1" applyAlignment="1">
      <alignment horizontal="left" vertical="top"/>
    </xf>
    <xf numFmtId="0" fontId="16" fillId="11" borderId="12" xfId="0" applyFont="1" applyFill="1" applyBorder="1" applyAlignment="1">
      <alignment horizontal="left" vertical="top" wrapText="1"/>
    </xf>
    <xf numFmtId="0" fontId="33" fillId="11" borderId="12" xfId="0" applyFont="1" applyFill="1" applyBorder="1" applyAlignment="1">
      <alignment horizontal="left" vertical="top" wrapText="1"/>
    </xf>
    <xf numFmtId="0" fontId="33" fillId="12" borderId="12" xfId="0" applyFont="1" applyFill="1" applyBorder="1" applyAlignment="1">
      <alignment horizontal="left" vertical="top" wrapText="1"/>
    </xf>
    <xf numFmtId="0" fontId="34" fillId="11" borderId="12" xfId="0" applyFont="1" applyFill="1" applyBorder="1" applyAlignment="1">
      <alignment horizontal="left" vertical="top" wrapText="1"/>
    </xf>
    <xf numFmtId="0" fontId="34" fillId="12" borderId="12" xfId="0" applyFont="1" applyFill="1" applyBorder="1" applyAlignment="1">
      <alignment horizontal="left" vertical="top"/>
    </xf>
    <xf numFmtId="0" fontId="17" fillId="12" borderId="12" xfId="0" applyFont="1" applyFill="1" applyBorder="1" applyAlignment="1">
      <alignment horizontal="left" vertical="top" wrapText="1"/>
    </xf>
    <xf numFmtId="0" fontId="1" fillId="15" borderId="21" xfId="0" applyFont="1" applyFill="1" applyBorder="1" applyAlignment="1">
      <alignment horizontal="left" vertical="top"/>
    </xf>
    <xf numFmtId="0" fontId="33" fillId="12" borderId="12" xfId="0" applyFont="1" applyFill="1" applyBorder="1" applyAlignment="1">
      <alignment horizontal="left" vertical="top"/>
    </xf>
    <xf numFmtId="0" fontId="6" fillId="0" borderId="12" xfId="1" applyBorder="1" applyAlignment="1">
      <alignment horizontal="left" vertical="top"/>
    </xf>
    <xf numFmtId="0" fontId="19" fillId="11" borderId="12" xfId="0" applyFont="1" applyFill="1" applyBorder="1" applyAlignment="1">
      <alignment horizontal="left" vertical="top" wrapText="1"/>
    </xf>
    <xf numFmtId="0" fontId="19" fillId="12" borderId="12" xfId="0" applyFont="1" applyFill="1" applyBorder="1" applyAlignment="1">
      <alignment horizontal="left" vertical="top" wrapText="1"/>
    </xf>
    <xf numFmtId="0" fontId="21" fillId="0" borderId="0" xfId="0" applyFont="1" applyAlignment="1">
      <alignment horizontal="left" vertical="top" wrapText="1"/>
    </xf>
    <xf numFmtId="0" fontId="15" fillId="0" borderId="12" xfId="0" quotePrefix="1" applyFont="1" applyBorder="1" applyAlignment="1">
      <alignment horizontal="left" vertical="top" wrapText="1"/>
    </xf>
    <xf numFmtId="0" fontId="6" fillId="0" borderId="12" xfId="1" applyBorder="1" applyAlignment="1" applyProtection="1">
      <alignment horizontal="left" vertical="top" wrapText="1"/>
    </xf>
    <xf numFmtId="0" fontId="6" fillId="0" borderId="12" xfId="1" applyBorder="1" applyAlignment="1" applyProtection="1">
      <alignment horizontal="left" vertical="top"/>
    </xf>
    <xf numFmtId="0" fontId="15" fillId="0" borderId="12" xfId="1" applyFont="1" applyBorder="1" applyAlignment="1" applyProtection="1">
      <alignment horizontal="left" vertical="top" wrapText="1"/>
    </xf>
    <xf numFmtId="0" fontId="15" fillId="0" borderId="12" xfId="1" quotePrefix="1" applyFont="1" applyBorder="1" applyAlignment="1" applyProtection="1">
      <alignment horizontal="left" vertical="top" wrapText="1"/>
    </xf>
    <xf numFmtId="0" fontId="6" fillId="0" borderId="12" xfId="1" applyBorder="1" applyAlignment="1">
      <alignment horizontal="left" vertical="top" wrapText="1"/>
    </xf>
    <xf numFmtId="0" fontId="22" fillId="13" borderId="12" xfId="0" applyFont="1" applyFill="1" applyBorder="1" applyAlignment="1">
      <alignment horizontal="left" vertical="top"/>
    </xf>
    <xf numFmtId="0" fontId="22" fillId="13" borderId="12" xfId="0" applyFont="1" applyFill="1" applyBorder="1" applyAlignment="1">
      <alignment horizontal="left" vertical="top" wrapText="1"/>
    </xf>
    <xf numFmtId="0" fontId="23" fillId="13" borderId="12" xfId="0" applyFont="1" applyFill="1" applyBorder="1" applyAlignment="1">
      <alignment horizontal="left" vertical="top" wrapText="1"/>
    </xf>
    <xf numFmtId="0" fontId="0" fillId="15" borderId="12" xfId="0" applyFill="1" applyBorder="1" applyAlignment="1">
      <alignment horizontal="left" vertical="top" wrapText="1"/>
    </xf>
    <xf numFmtId="0" fontId="26" fillId="15" borderId="12" xfId="0" applyFont="1" applyFill="1" applyBorder="1" applyAlignment="1">
      <alignment horizontal="left" vertical="top" wrapText="1"/>
    </xf>
    <xf numFmtId="0" fontId="28" fillId="15" borderId="12" xfId="0" applyFont="1" applyFill="1" applyBorder="1" applyAlignment="1">
      <alignment horizontal="left" vertical="top" wrapText="1"/>
    </xf>
    <xf numFmtId="0" fontId="27" fillId="15" borderId="12" xfId="0" applyFont="1" applyFill="1" applyBorder="1" applyAlignment="1">
      <alignment horizontal="left" vertical="top" wrapText="1"/>
    </xf>
    <xf numFmtId="0" fontId="29" fillId="15" borderId="12" xfId="0" applyFont="1" applyFill="1" applyBorder="1" applyAlignment="1">
      <alignment horizontal="left" vertical="top" wrapText="1"/>
    </xf>
    <xf numFmtId="0" fontId="0" fillId="15" borderId="12" xfId="0" quotePrefix="1" applyFill="1" applyBorder="1" applyAlignment="1">
      <alignment horizontal="left" vertical="top" wrapText="1"/>
    </xf>
    <xf numFmtId="0" fontId="0" fillId="0" borderId="0" xfId="0" applyAlignment="1">
      <alignment horizontal="left" vertical="top"/>
    </xf>
    <xf numFmtId="0" fontId="17" fillId="12" borderId="12" xfId="0" applyFont="1" applyFill="1" applyBorder="1" applyAlignment="1">
      <alignment horizontal="left" vertical="top"/>
    </xf>
    <xf numFmtId="0" fontId="30" fillId="12" borderId="12" xfId="0" applyFont="1" applyFill="1" applyBorder="1" applyAlignment="1">
      <alignment horizontal="left" vertical="top" wrapText="1"/>
    </xf>
    <xf numFmtId="0" fontId="17" fillId="0" borderId="12" xfId="0" applyFont="1" applyBorder="1" applyAlignment="1">
      <alignment horizontal="left" vertical="top"/>
    </xf>
    <xf numFmtId="0" fontId="30" fillId="0" borderId="12" xfId="0" applyFont="1" applyBorder="1" applyAlignment="1">
      <alignment horizontal="left" vertical="top" wrapText="1"/>
    </xf>
    <xf numFmtId="0" fontId="9" fillId="0" borderId="0" xfId="0" applyFont="1" applyAlignment="1">
      <alignment horizontal="left" wrapText="1"/>
    </xf>
    <xf numFmtId="0" fontId="0" fillId="0" borderId="0" xfId="0" applyAlignment="1">
      <alignment wrapText="1"/>
    </xf>
    <xf numFmtId="0" fontId="9" fillId="20" borderId="0" xfId="0" applyFont="1" applyFill="1"/>
    <xf numFmtId="0" fontId="6" fillId="11" borderId="12" xfId="1" applyFill="1" applyBorder="1" applyAlignment="1">
      <alignment horizontal="left" vertical="top" wrapText="1"/>
    </xf>
    <xf numFmtId="0" fontId="6" fillId="0" borderId="21" xfId="1" applyBorder="1" applyAlignment="1">
      <alignment horizontal="left" vertical="top" wrapText="1"/>
    </xf>
    <xf numFmtId="0" fontId="6" fillId="0" borderId="0" xfId="1" applyAlignment="1">
      <alignment horizontal="left" vertical="top" wrapText="1"/>
    </xf>
    <xf numFmtId="0" fontId="0" fillId="0" borderId="10" xfId="0" applyBorder="1"/>
    <xf numFmtId="0" fontId="3" fillId="0" borderId="11" xfId="0" applyFont="1" applyBorder="1" applyAlignment="1">
      <alignment vertical="top"/>
    </xf>
    <xf numFmtId="0" fontId="4" fillId="0" borderId="9" xfId="0" applyFont="1" applyBorder="1"/>
    <xf numFmtId="0" fontId="3" fillId="0" borderId="2" xfId="0" applyFont="1" applyBorder="1" applyAlignment="1">
      <alignment vertical="top"/>
    </xf>
    <xf numFmtId="0" fontId="4" fillId="0" borderId="3" xfId="0" applyFont="1" applyBorder="1"/>
    <xf numFmtId="0" fontId="18" fillId="0" borderId="22" xfId="0" applyFont="1" applyBorder="1" applyAlignment="1">
      <alignment horizontal="left" vertical="top" wrapText="1"/>
    </xf>
    <xf numFmtId="0" fontId="18" fillId="0" borderId="21" xfId="0" applyFont="1" applyBorder="1" applyAlignment="1">
      <alignment horizontal="left" vertical="top" wrapText="1"/>
    </xf>
    <xf numFmtId="0" fontId="18" fillId="0" borderId="23" xfId="0" applyFont="1" applyBorder="1" applyAlignment="1">
      <alignment horizontal="left" vertical="top" wrapText="1"/>
    </xf>
    <xf numFmtId="0" fontId="16" fillId="11" borderId="12" xfId="0" applyFont="1" applyFill="1" applyBorder="1" applyAlignment="1">
      <alignment horizontal="left" vertical="top"/>
    </xf>
    <xf numFmtId="0" fontId="18" fillId="0" borderId="12" xfId="0" applyFont="1" applyBorder="1" applyAlignment="1">
      <alignment horizontal="left" vertical="top" wrapText="1"/>
    </xf>
    <xf numFmtId="0" fontId="25" fillId="15" borderId="22" xfId="0" applyFont="1" applyFill="1" applyBorder="1" applyAlignment="1">
      <alignment horizontal="left" vertical="top"/>
    </xf>
    <xf numFmtId="0" fontId="25" fillId="15" borderId="21" xfId="0" applyFont="1" applyFill="1" applyBorder="1" applyAlignment="1">
      <alignment horizontal="left" vertical="top"/>
    </xf>
    <xf numFmtId="0" fontId="25" fillId="15" borderId="23" xfId="0" applyFont="1" applyFill="1" applyBorder="1" applyAlignment="1">
      <alignment horizontal="left" vertical="top"/>
    </xf>
    <xf numFmtId="0" fontId="1" fillId="15" borderId="22" xfId="0" applyFont="1" applyFill="1" applyBorder="1" applyAlignment="1">
      <alignment horizontal="left" vertical="top"/>
    </xf>
    <xf numFmtId="0" fontId="1" fillId="15" borderId="21" xfId="0" applyFont="1" applyFill="1" applyBorder="1" applyAlignment="1">
      <alignment horizontal="left" vertical="top"/>
    </xf>
    <xf numFmtId="0" fontId="18" fillId="0" borderId="22" xfId="0" applyFont="1" applyBorder="1" applyAlignment="1">
      <alignment horizontal="left" vertical="top"/>
    </xf>
    <xf numFmtId="0" fontId="18" fillId="0" borderId="21" xfId="0" applyFont="1" applyBorder="1" applyAlignment="1">
      <alignment horizontal="left" vertical="top"/>
    </xf>
    <xf numFmtId="0" fontId="18" fillId="0" borderId="23" xfId="0" applyFont="1" applyBorder="1" applyAlignment="1">
      <alignment horizontal="left" vertical="top"/>
    </xf>
    <xf numFmtId="0" fontId="17" fillId="0" borderId="12" xfId="0" applyFont="1" applyBorder="1" applyAlignment="1">
      <alignment horizontal="left" vertical="top"/>
    </xf>
    <xf numFmtId="0" fontId="7" fillId="3" borderId="12" xfId="0" applyFont="1" applyFill="1" applyBorder="1" applyAlignment="1">
      <alignment horizontal="center" vertical="center" wrapText="1"/>
    </xf>
    <xf numFmtId="0" fontId="10" fillId="4" borderId="14" xfId="0" applyFont="1" applyFill="1" applyBorder="1" applyAlignment="1">
      <alignment horizontal="center" wrapText="1"/>
    </xf>
    <xf numFmtId="0" fontId="7" fillId="9" borderId="12" xfId="0" applyFont="1" applyFill="1" applyBorder="1" applyAlignment="1">
      <alignment horizontal="center" vertical="center" wrapText="1"/>
    </xf>
    <xf numFmtId="0" fontId="14" fillId="9" borderId="12" xfId="0" applyFont="1" applyFill="1" applyBorder="1" applyAlignment="1">
      <alignment vertical="center" wrapText="1"/>
    </xf>
    <xf numFmtId="0" fontId="37" fillId="21" borderId="12" xfId="0" applyFont="1" applyFill="1" applyBorder="1" applyAlignment="1">
      <alignment horizontal="center"/>
    </xf>
    <xf numFmtId="0" fontId="38" fillId="22" borderId="24" xfId="0" applyFont="1" applyFill="1" applyBorder="1" applyAlignment="1">
      <alignment horizontal="right"/>
    </xf>
    <xf numFmtId="0" fontId="39" fillId="23" borderId="15" xfId="0" applyFont="1" applyFill="1" applyBorder="1" applyAlignment="1">
      <alignment horizontal="left" vertical="center" wrapText="1"/>
    </xf>
    <xf numFmtId="0" fontId="38" fillId="22" borderId="25" xfId="0" applyFont="1" applyFill="1" applyBorder="1" applyAlignment="1">
      <alignment horizontal="right"/>
    </xf>
    <xf numFmtId="0" fontId="40" fillId="24" borderId="23" xfId="0" applyFont="1" applyFill="1" applyBorder="1" applyAlignment="1">
      <alignment horizontal="center" vertical="center" wrapText="1"/>
    </xf>
    <xf numFmtId="0" fontId="41" fillId="25" borderId="24" xfId="0" applyFont="1" applyFill="1" applyBorder="1" applyAlignment="1">
      <alignment horizontal="center" vertical="top" wrapText="1"/>
    </xf>
    <xf numFmtId="0" fontId="41" fillId="25" borderId="26" xfId="0" applyFont="1" applyFill="1" applyBorder="1" applyAlignment="1">
      <alignment horizontal="center" vertical="top" wrapText="1"/>
    </xf>
    <xf numFmtId="0" fontId="41" fillId="25" borderId="27" xfId="0" applyFont="1" applyFill="1" applyBorder="1" applyAlignment="1">
      <alignment horizontal="center" vertical="top" wrapText="1"/>
    </xf>
    <xf numFmtId="0" fontId="17" fillId="26" borderId="24" xfId="0" applyFont="1" applyFill="1" applyBorder="1" applyAlignment="1">
      <alignment vertical="center"/>
    </xf>
    <xf numFmtId="0" fontId="42" fillId="27" borderId="26" xfId="0" applyFont="1" applyFill="1" applyBorder="1" applyAlignment="1">
      <alignment horizontal="center" vertical="center"/>
    </xf>
    <xf numFmtId="0" fontId="42" fillId="28" borderId="26" xfId="0" applyFont="1" applyFill="1" applyBorder="1" applyAlignment="1">
      <alignment horizontal="center" vertical="center"/>
    </xf>
    <xf numFmtId="0" fontId="42" fillId="29" borderId="26" xfId="0" applyFont="1" applyFill="1" applyBorder="1" applyAlignment="1">
      <alignment horizontal="center" vertical="center"/>
    </xf>
    <xf numFmtId="0" fontId="42" fillId="30" borderId="26" xfId="0" applyFont="1" applyFill="1" applyBorder="1" applyAlignment="1">
      <alignment horizontal="center" vertical="center"/>
    </xf>
    <xf numFmtId="0" fontId="43" fillId="9" borderId="27" xfId="0" applyFont="1" applyFill="1" applyBorder="1" applyAlignment="1">
      <alignment horizontal="center" vertical="center"/>
    </xf>
    <xf numFmtId="0" fontId="38" fillId="31" borderId="25" xfId="0" applyFont="1" applyFill="1" applyBorder="1" applyAlignment="1">
      <alignment horizontal="center"/>
    </xf>
    <xf numFmtId="0" fontId="44" fillId="31" borderId="28" xfId="0" applyFont="1" applyFill="1" applyBorder="1" applyAlignment="1">
      <alignment horizontal="center"/>
    </xf>
    <xf numFmtId="0" fontId="44" fillId="31" borderId="28" xfId="0" applyFont="1" applyFill="1" applyBorder="1" applyAlignment="1">
      <alignment horizontal="center" wrapText="1"/>
    </xf>
    <xf numFmtId="0" fontId="44" fillId="31" borderId="15" xfId="0" applyFont="1" applyFill="1" applyBorder="1" applyAlignment="1">
      <alignment horizontal="center"/>
    </xf>
    <xf numFmtId="0" fontId="45" fillId="0" borderId="0" xfId="0" applyFont="1" applyAlignment="1">
      <alignment vertical="top"/>
    </xf>
    <xf numFmtId="0" fontId="18" fillId="32" borderId="12" xfId="0" applyFont="1" applyFill="1" applyBorder="1" applyAlignment="1">
      <alignment horizontal="center" wrapText="1"/>
    </xf>
    <xf numFmtId="0" fontId="18" fillId="32" borderId="12" xfId="0" applyFont="1" applyFill="1" applyBorder="1" applyAlignment="1">
      <alignment horizontal="center" vertical="top" wrapText="1"/>
    </xf>
    <xf numFmtId="0" fontId="18" fillId="32" borderId="12" xfId="0" applyFont="1" applyFill="1" applyBorder="1" applyAlignment="1">
      <alignment horizontal="center" vertical="top" wrapText="1"/>
    </xf>
    <xf numFmtId="0" fontId="17" fillId="33" borderId="12" xfId="0" applyFont="1" applyFill="1" applyBorder="1"/>
    <xf numFmtId="0" fontId="17" fillId="33" borderId="12" xfId="0" applyFont="1" applyFill="1" applyBorder="1" applyAlignment="1">
      <alignment horizontal="center" vertical="top"/>
    </xf>
    <xf numFmtId="0" fontId="46" fillId="34" borderId="12" xfId="0" applyFont="1" applyFill="1" applyBorder="1" applyAlignment="1">
      <alignment horizontal="center"/>
    </xf>
    <xf numFmtId="0" fontId="47" fillId="34" borderId="12" xfId="0" applyFont="1" applyFill="1" applyBorder="1" applyAlignment="1">
      <alignment horizontal="center" vertical="center" wrapText="1"/>
    </xf>
    <xf numFmtId="0" fontId="47" fillId="34" borderId="12" xfId="0" applyFont="1" applyFill="1" applyBorder="1" applyAlignment="1">
      <alignment horizontal="center" vertical="center"/>
    </xf>
    <xf numFmtId="0" fontId="46" fillId="34" borderId="12" xfId="0" applyFont="1" applyFill="1" applyBorder="1" applyAlignment="1">
      <alignment horizontal="center" vertical="center"/>
    </xf>
    <xf numFmtId="0" fontId="48" fillId="0" borderId="12" xfId="0" applyFont="1" applyBorder="1" applyAlignment="1">
      <alignment horizontal="center" vertical="center" wrapText="1"/>
    </xf>
    <xf numFmtId="0" fontId="49" fillId="0" borderId="12" xfId="0" applyFont="1" applyBorder="1" applyAlignment="1">
      <alignment horizontal="center" vertical="center"/>
    </xf>
    <xf numFmtId="0" fontId="50" fillId="0" borderId="12" xfId="0" applyFont="1" applyBorder="1" applyAlignment="1">
      <alignment horizontal="center" vertical="center" wrapText="1"/>
    </xf>
    <xf numFmtId="0" fontId="49" fillId="0" borderId="12" xfId="0" applyFont="1" applyBorder="1" applyAlignment="1">
      <alignment horizontal="center" vertical="top" wrapText="1"/>
    </xf>
    <xf numFmtId="0" fontId="48" fillId="0" borderId="22" xfId="0" applyFont="1" applyBorder="1" applyAlignment="1">
      <alignment horizontal="center" vertical="center" wrapText="1"/>
    </xf>
    <xf numFmtId="0" fontId="49" fillId="0" borderId="22" xfId="0" applyFont="1" applyBorder="1" applyAlignment="1">
      <alignment horizontal="center" vertical="center" wrapText="1"/>
    </xf>
    <xf numFmtId="0" fontId="50" fillId="0" borderId="29" xfId="0" applyFont="1" applyBorder="1" applyAlignment="1">
      <alignment horizontal="center" vertical="center" wrapText="1"/>
    </xf>
    <xf numFmtId="0" fontId="50" fillId="0" borderId="30" xfId="0" applyFont="1" applyBorder="1" applyAlignment="1">
      <alignment horizontal="center" vertical="center" wrapText="1"/>
    </xf>
    <xf numFmtId="0" fontId="50" fillId="0" borderId="31" xfId="0" applyFont="1" applyBorder="1" applyAlignment="1">
      <alignment horizontal="center" vertical="center" wrapText="1"/>
    </xf>
    <xf numFmtId="0" fontId="48" fillId="0" borderId="21" xfId="0" applyFont="1" applyBorder="1" applyAlignment="1">
      <alignment horizontal="center" vertical="center" wrapText="1"/>
    </xf>
    <xf numFmtId="0" fontId="49" fillId="0" borderId="21" xfId="0" applyFont="1" applyBorder="1" applyAlignment="1">
      <alignment horizontal="center" vertical="center" wrapText="1"/>
    </xf>
    <xf numFmtId="0" fontId="50" fillId="0" borderId="32" xfId="0" applyFont="1" applyBorder="1" applyAlignment="1">
      <alignment horizontal="center" vertical="center" wrapText="1"/>
    </xf>
    <xf numFmtId="0" fontId="50" fillId="0" borderId="0" xfId="0" applyFont="1" applyAlignment="1">
      <alignment horizontal="center" vertical="center" wrapText="1"/>
    </xf>
    <xf numFmtId="0" fontId="50" fillId="0" borderId="33" xfId="0" applyFont="1" applyBorder="1" applyAlignment="1">
      <alignment horizontal="center" vertical="center" wrapText="1"/>
    </xf>
    <xf numFmtId="0" fontId="48" fillId="0" borderId="23" xfId="0" applyFont="1" applyBorder="1" applyAlignment="1">
      <alignment horizontal="center" vertical="center" wrapText="1"/>
    </xf>
    <xf numFmtId="0" fontId="49" fillId="0" borderId="23"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35" xfId="0" applyFont="1" applyBorder="1" applyAlignment="1">
      <alignment horizontal="center" vertical="center" wrapText="1"/>
    </xf>
    <xf numFmtId="0" fontId="50" fillId="0" borderId="15" xfId="0" applyFont="1" applyBorder="1" applyAlignment="1">
      <alignment horizontal="center" vertical="center" wrapText="1"/>
    </xf>
    <xf numFmtId="0" fontId="49" fillId="0" borderId="12" xfId="0" applyFont="1" applyBorder="1" applyAlignment="1">
      <alignment horizontal="center" vertical="center" wrapText="1"/>
    </xf>
  </cellXfs>
  <cellStyles count="2">
    <cellStyle name="Hyperlink" xfId="1" builtinId="8"/>
    <cellStyle name="Normal" xfId="0" builtinId="0"/>
  </cellStyles>
  <dxfs count="8">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16</xdr:col>
      <xdr:colOff>527050</xdr:colOff>
      <xdr:row>34</xdr:row>
      <xdr:rowOff>148615</xdr:rowOff>
    </xdr:to>
    <xdr:pic>
      <xdr:nvPicPr>
        <xdr:cNvPr id="2" name="Picture 1">
          <a:extLst>
            <a:ext uri="{FF2B5EF4-FFF2-40B4-BE49-F238E27FC236}">
              <a16:creationId xmlns:a16="http://schemas.microsoft.com/office/drawing/2014/main" id="{25C6AD5D-795C-4969-AADC-29A2A8B95D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28800" y="0"/>
          <a:ext cx="8451850" cy="6409715"/>
        </a:xfrm>
        <a:prstGeom prst="rect">
          <a:avLst/>
        </a:prstGeom>
      </xdr:spPr>
    </xdr:pic>
    <xdr:clientData/>
  </xdr:twoCellAnchor>
  <xdr:twoCellAnchor>
    <xdr:from>
      <xdr:col>2</xdr:col>
      <xdr:colOff>571500</xdr:colOff>
      <xdr:row>34</xdr:row>
      <xdr:rowOff>101600</xdr:rowOff>
    </xdr:from>
    <xdr:to>
      <xdr:col>16</xdr:col>
      <xdr:colOff>558800</xdr:colOff>
      <xdr:row>55</xdr:row>
      <xdr:rowOff>75158</xdr:rowOff>
    </xdr:to>
    <xdr:pic>
      <xdr:nvPicPr>
        <xdr:cNvPr id="3" name="Picture 2">
          <a:extLst>
            <a:ext uri="{FF2B5EF4-FFF2-40B4-BE49-F238E27FC236}">
              <a16:creationId xmlns:a16="http://schemas.microsoft.com/office/drawing/2014/main" id="{97452C0C-CB49-4158-A3D0-7C5FBE734E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90700" y="6362700"/>
          <a:ext cx="8521700" cy="3840708"/>
        </a:xfrm>
        <a:prstGeom prst="rect">
          <a:avLst/>
        </a:prstGeom>
      </xdr:spPr>
    </xdr:pic>
    <xdr:clientData/>
  </xdr:twoCellAnchor>
  <xdr:twoCellAnchor>
    <xdr:from>
      <xdr:col>2</xdr:col>
      <xdr:colOff>571501</xdr:colOff>
      <xdr:row>55</xdr:row>
      <xdr:rowOff>95250</xdr:rowOff>
    </xdr:from>
    <xdr:to>
      <xdr:col>16</xdr:col>
      <xdr:colOff>603250</xdr:colOff>
      <xdr:row>87</xdr:row>
      <xdr:rowOff>48861</xdr:rowOff>
    </xdr:to>
    <xdr:pic>
      <xdr:nvPicPr>
        <xdr:cNvPr id="4" name="Picture 3">
          <a:extLst>
            <a:ext uri="{FF2B5EF4-FFF2-40B4-BE49-F238E27FC236}">
              <a16:creationId xmlns:a16="http://schemas.microsoft.com/office/drawing/2014/main" id="{0383BDDD-D214-4916-9BA2-73BFF46FB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90701" y="10223500"/>
          <a:ext cx="8566149" cy="5846411"/>
        </a:xfrm>
        <a:prstGeom prst="rect">
          <a:avLst/>
        </a:prstGeom>
      </xdr:spPr>
    </xdr:pic>
    <xdr:clientData/>
  </xdr:twoCellAnchor>
  <xdr:twoCellAnchor>
    <xdr:from>
      <xdr:col>2</xdr:col>
      <xdr:colOff>342900</xdr:colOff>
      <xdr:row>86</xdr:row>
      <xdr:rowOff>177800</xdr:rowOff>
    </xdr:from>
    <xdr:to>
      <xdr:col>17</xdr:col>
      <xdr:colOff>31749</xdr:colOff>
      <xdr:row>112</xdr:row>
      <xdr:rowOff>84099</xdr:rowOff>
    </xdr:to>
    <xdr:pic>
      <xdr:nvPicPr>
        <xdr:cNvPr id="5" name="Picture 4">
          <a:extLst>
            <a:ext uri="{FF2B5EF4-FFF2-40B4-BE49-F238E27FC236}">
              <a16:creationId xmlns:a16="http://schemas.microsoft.com/office/drawing/2014/main" id="{56A4F8C3-F254-48E3-9F53-2523BC171B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62100" y="16014700"/>
          <a:ext cx="8832849" cy="4694199"/>
        </a:xfrm>
        <a:prstGeom prst="rect">
          <a:avLst/>
        </a:prstGeom>
      </xdr:spPr>
    </xdr:pic>
    <xdr:clientData/>
  </xdr:twoCellAnchor>
  <xdr:twoCellAnchor>
    <xdr:from>
      <xdr:col>2</xdr:col>
      <xdr:colOff>596900</xdr:colOff>
      <xdr:row>106</xdr:row>
      <xdr:rowOff>19050</xdr:rowOff>
    </xdr:from>
    <xdr:to>
      <xdr:col>16</xdr:col>
      <xdr:colOff>584200</xdr:colOff>
      <xdr:row>137</xdr:row>
      <xdr:rowOff>3183</xdr:rowOff>
    </xdr:to>
    <xdr:pic>
      <xdr:nvPicPr>
        <xdr:cNvPr id="6" name="Picture 5">
          <a:extLst>
            <a:ext uri="{FF2B5EF4-FFF2-40B4-BE49-F238E27FC236}">
              <a16:creationId xmlns:a16="http://schemas.microsoft.com/office/drawing/2014/main" id="{1E61F4EB-ED7A-43E8-B03F-0D1FFAE510F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16100" y="19538950"/>
          <a:ext cx="8521700" cy="5692783"/>
        </a:xfrm>
        <a:prstGeom prst="rect">
          <a:avLst/>
        </a:prstGeom>
      </xdr:spPr>
    </xdr:pic>
    <xdr:clientData/>
  </xdr:twoCellAnchor>
  <xdr:twoCellAnchor>
    <xdr:from>
      <xdr:col>2</xdr:col>
      <xdr:colOff>539750</xdr:colOff>
      <xdr:row>137</xdr:row>
      <xdr:rowOff>38100</xdr:rowOff>
    </xdr:from>
    <xdr:to>
      <xdr:col>16</xdr:col>
      <xdr:colOff>558800</xdr:colOff>
      <xdr:row>163</xdr:row>
      <xdr:rowOff>29748</xdr:rowOff>
    </xdr:to>
    <xdr:pic>
      <xdr:nvPicPr>
        <xdr:cNvPr id="7" name="Picture 6">
          <a:extLst>
            <a:ext uri="{FF2B5EF4-FFF2-40B4-BE49-F238E27FC236}">
              <a16:creationId xmlns:a16="http://schemas.microsoft.com/office/drawing/2014/main" id="{01C5B7B0-F6BE-4E2D-B88D-6BF53EB8A75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58950" y="25266650"/>
          <a:ext cx="8553450" cy="4779548"/>
        </a:xfrm>
        <a:prstGeom prst="rect">
          <a:avLst/>
        </a:prstGeom>
      </xdr:spPr>
    </xdr:pic>
    <xdr:clientData/>
  </xdr:twoCellAnchor>
  <xdr:twoCellAnchor>
    <xdr:from>
      <xdr:col>3</xdr:col>
      <xdr:colOff>12701</xdr:colOff>
      <xdr:row>157</xdr:row>
      <xdr:rowOff>31750</xdr:rowOff>
    </xdr:from>
    <xdr:to>
      <xdr:col>16</xdr:col>
      <xdr:colOff>590551</xdr:colOff>
      <xdr:row>188</xdr:row>
      <xdr:rowOff>67092</xdr:rowOff>
    </xdr:to>
    <xdr:pic>
      <xdr:nvPicPr>
        <xdr:cNvPr id="8" name="Picture 7">
          <a:extLst>
            <a:ext uri="{FF2B5EF4-FFF2-40B4-BE49-F238E27FC236}">
              <a16:creationId xmlns:a16="http://schemas.microsoft.com/office/drawing/2014/main" id="{E636EBF9-33A4-493B-B040-99CB4027B2E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41501" y="28943300"/>
          <a:ext cx="8502650" cy="57439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K9m94DGlndLd_0u6t704cXeiTDAycTJG/view?usp=sharing" TargetMode="External"/><Relationship Id="rId13" Type="http://schemas.openxmlformats.org/officeDocument/2006/relationships/hyperlink" Target="https://drive.google.com/file/d/1hHHe3P8rZQaVSappgc114yw2QLGrJ8iv/view?usp=drive_link" TargetMode="External"/><Relationship Id="rId3" Type="http://schemas.openxmlformats.org/officeDocument/2006/relationships/hyperlink" Target="https://drive.google.com/file/d/19wIqSKjaVnzRDo6_pGEcwnXKAGEJZ9BH/view?usp=drive_link" TargetMode="External"/><Relationship Id="rId7" Type="http://schemas.openxmlformats.org/officeDocument/2006/relationships/hyperlink" Target="https://drive.google.com/file/d/1Z0hu6XzFevfJuw5WTob6mvhDIMFDSBIW/view?usp=sharing" TargetMode="External"/><Relationship Id="rId12" Type="http://schemas.openxmlformats.org/officeDocument/2006/relationships/hyperlink" Target="https://drive.google.com/file/d/1keJUVQ95ZcUDh5qo-wgnnxdbKCOzVXIY/view?usp=drive_link" TargetMode="External"/><Relationship Id="rId17" Type="http://schemas.openxmlformats.org/officeDocument/2006/relationships/printerSettings" Target="../printerSettings/printerSettings1.bin"/><Relationship Id="rId2" Type="http://schemas.openxmlformats.org/officeDocument/2006/relationships/hyperlink" Target="https://drive.google.com/file/d/1omSBBZFNxAjHt8jGEsoCsFVRmWu6FYxS/view?usp=sharing" TargetMode="External"/><Relationship Id="rId16" Type="http://schemas.openxmlformats.org/officeDocument/2006/relationships/hyperlink" Target="https://drive.google.com/file/d/1OK-RGUEMp8RXhIFTkeAs-WGwBE-tqObp/view?usp=sharing" TargetMode="External"/><Relationship Id="rId1" Type="http://schemas.openxmlformats.org/officeDocument/2006/relationships/hyperlink" Target="https://drive.google.com/file/d/1MkOtnp9FTWW6kbr4UQwBKhfVRaJdHxpV/view?usp=drive_link" TargetMode="External"/><Relationship Id="rId6" Type="http://schemas.openxmlformats.org/officeDocument/2006/relationships/hyperlink" Target="https://fabrilife.com/" TargetMode="External"/><Relationship Id="rId11" Type="http://schemas.openxmlformats.org/officeDocument/2006/relationships/hyperlink" Target="mailto:tamannasana44@gmail.com" TargetMode="External"/><Relationship Id="rId5" Type="http://schemas.openxmlformats.org/officeDocument/2006/relationships/hyperlink" Target="mailto:fgcfh@nndj.comhdjui44" TargetMode="External"/><Relationship Id="rId15" Type="http://schemas.openxmlformats.org/officeDocument/2006/relationships/hyperlink" Target="https://drive.google.com/file/d/1zID0n261Yba9Ce1cZHRk0fJwGdMRrskC/view?usp=drive_link" TargetMode="External"/><Relationship Id="rId10" Type="http://schemas.openxmlformats.org/officeDocument/2006/relationships/hyperlink" Target="mailto:tamannasana44@gmail.com" TargetMode="External"/><Relationship Id="rId4" Type="http://schemas.openxmlformats.org/officeDocument/2006/relationships/hyperlink" Target="https://drive.google.com/file/d/1WEigmeNi_MbXo8B1eW6Ezan8debJ05oY/view?usp=sharing" TargetMode="External"/><Relationship Id="rId9" Type="http://schemas.openxmlformats.org/officeDocument/2006/relationships/hyperlink" Target="https://drive.google.com/file/d/1ObkDvg2stdj59oNI0aB0x68SQ4rNyWNe/view?usp=sharing" TargetMode="External"/><Relationship Id="rId14" Type="http://schemas.openxmlformats.org/officeDocument/2006/relationships/hyperlink" Target="https://drive.google.com/file/d/1jrFxr0nuNVDGL2Wjbj7KO-nZPB9sM-gL/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868F-4BFE-4AC8-BD98-DFA860E47743}">
  <dimension ref="A1"/>
  <sheetViews>
    <sheetView topLeftCell="A173" workbookViewId="0">
      <selection activeCell="R149" sqref="R149"/>
    </sheetView>
  </sheetViews>
  <sheetFormatPr defaultRowHeight="1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D06D-27F8-4085-8BA6-3752DB05BE1C}">
  <dimension ref="B3:F34"/>
  <sheetViews>
    <sheetView workbookViewId="0">
      <selection activeCell="C7" sqref="C7:D7"/>
    </sheetView>
  </sheetViews>
  <sheetFormatPr defaultRowHeight="14.5"/>
  <cols>
    <col min="2" max="2" width="22.26953125" customWidth="1"/>
    <col min="3" max="3" width="13" customWidth="1"/>
    <col min="4" max="4" width="61.08984375" customWidth="1"/>
    <col min="5" max="5" width="22.81640625" customWidth="1"/>
    <col min="6" max="6" width="17.1796875" customWidth="1"/>
  </cols>
  <sheetData>
    <row r="3" spans="2:6">
      <c r="B3" s="11" t="s">
        <v>0</v>
      </c>
      <c r="C3" s="119" t="s">
        <v>1</v>
      </c>
      <c r="D3" s="119"/>
    </row>
    <row r="4" spans="2:6" ht="18.5" customHeight="1">
      <c r="B4" s="11" t="s">
        <v>2</v>
      </c>
      <c r="C4" s="119" t="s">
        <v>1</v>
      </c>
      <c r="D4" s="119"/>
    </row>
    <row r="5" spans="2:6" ht="22" customHeight="1">
      <c r="B5" s="1" t="s">
        <v>3</v>
      </c>
      <c r="C5" s="120" t="s">
        <v>4</v>
      </c>
      <c r="D5" s="121"/>
    </row>
    <row r="6" spans="2:6" ht="27">
      <c r="B6" s="1" t="s">
        <v>5</v>
      </c>
      <c r="C6" s="122" t="s">
        <v>66</v>
      </c>
      <c r="D6" s="123"/>
    </row>
    <row r="7" spans="2:6" ht="27">
      <c r="B7" s="1" t="s">
        <v>6</v>
      </c>
      <c r="C7" s="122" t="s">
        <v>375</v>
      </c>
      <c r="D7" s="123"/>
    </row>
    <row r="8" spans="2:6" ht="27">
      <c r="B8" s="1" t="s">
        <v>8</v>
      </c>
      <c r="C8" s="122" t="s">
        <v>7</v>
      </c>
      <c r="D8" s="123"/>
    </row>
    <row r="10" spans="2:6" ht="67.5">
      <c r="B10" s="2" t="s">
        <v>9</v>
      </c>
      <c r="C10" s="3" t="s">
        <v>10</v>
      </c>
      <c r="D10" s="3" t="s">
        <v>11</v>
      </c>
      <c r="E10" s="4" t="s">
        <v>12</v>
      </c>
      <c r="F10" s="4" t="s">
        <v>13</v>
      </c>
    </row>
    <row r="11" spans="2:6">
      <c r="B11" s="5" t="s">
        <v>14</v>
      </c>
      <c r="C11" s="6" t="s">
        <v>4</v>
      </c>
      <c r="D11" s="7" t="s">
        <v>15</v>
      </c>
      <c r="E11" s="6" t="s">
        <v>16</v>
      </c>
      <c r="F11" s="6">
        <v>43</v>
      </c>
    </row>
    <row r="12" spans="2:6">
      <c r="B12" s="8" t="s">
        <v>17</v>
      </c>
      <c r="C12" s="9" t="s">
        <v>4</v>
      </c>
      <c r="D12" s="10" t="s">
        <v>18</v>
      </c>
      <c r="E12" s="9" t="s">
        <v>16</v>
      </c>
      <c r="F12" s="9">
        <v>22</v>
      </c>
    </row>
    <row r="13" spans="2:6">
      <c r="B13" s="8" t="s">
        <v>19</v>
      </c>
      <c r="C13" s="9" t="s">
        <v>4</v>
      </c>
      <c r="D13" s="10" t="s">
        <v>20</v>
      </c>
      <c r="E13" s="9" t="s">
        <v>16</v>
      </c>
      <c r="F13" s="9">
        <v>7</v>
      </c>
    </row>
    <row r="14" spans="2:6">
      <c r="B14" s="8" t="s">
        <v>21</v>
      </c>
      <c r="C14" s="9" t="s">
        <v>4</v>
      </c>
      <c r="D14" s="10" t="s">
        <v>22</v>
      </c>
      <c r="E14" s="9" t="s">
        <v>23</v>
      </c>
      <c r="F14" s="9">
        <v>2</v>
      </c>
    </row>
    <row r="15" spans="2:6">
      <c r="B15" s="8" t="s">
        <v>24</v>
      </c>
      <c r="C15" s="9" t="s">
        <v>4</v>
      </c>
      <c r="D15" s="10" t="s">
        <v>25</v>
      </c>
      <c r="E15" s="9" t="s">
        <v>26</v>
      </c>
      <c r="F15" s="9">
        <v>22</v>
      </c>
    </row>
    <row r="16" spans="2:6">
      <c r="B16" s="8" t="s">
        <v>27</v>
      </c>
      <c r="C16" s="9" t="s">
        <v>4</v>
      </c>
      <c r="D16" s="10" t="s">
        <v>28</v>
      </c>
      <c r="E16" s="9" t="s">
        <v>26</v>
      </c>
      <c r="F16" s="9">
        <v>15</v>
      </c>
    </row>
    <row r="17" spans="2:6">
      <c r="B17" s="8" t="s">
        <v>29</v>
      </c>
      <c r="C17" s="9" t="s">
        <v>4</v>
      </c>
      <c r="D17" s="10" t="s">
        <v>30</v>
      </c>
      <c r="E17" s="9" t="s">
        <v>31</v>
      </c>
      <c r="F17" s="9">
        <v>24</v>
      </c>
    </row>
    <row r="18" spans="2:6">
      <c r="B18" s="8" t="s">
        <v>32</v>
      </c>
      <c r="C18" s="9" t="s">
        <v>4</v>
      </c>
      <c r="D18" s="10" t="s">
        <v>33</v>
      </c>
      <c r="E18" s="9" t="s">
        <v>26</v>
      </c>
      <c r="F18" s="9">
        <v>37</v>
      </c>
    </row>
    <row r="19" spans="2:6">
      <c r="B19" s="8" t="s">
        <v>34</v>
      </c>
      <c r="C19" s="9" t="s">
        <v>4</v>
      </c>
      <c r="D19" s="10" t="s">
        <v>35</v>
      </c>
      <c r="E19" s="9" t="s">
        <v>26</v>
      </c>
      <c r="F19" s="9">
        <v>9</v>
      </c>
    </row>
    <row r="20" spans="2:6">
      <c r="B20" s="8" t="s">
        <v>36</v>
      </c>
      <c r="C20" s="9" t="s">
        <v>4</v>
      </c>
      <c r="D20" s="10" t="s">
        <v>37</v>
      </c>
      <c r="E20" s="9" t="s">
        <v>31</v>
      </c>
      <c r="F20" s="9">
        <v>21</v>
      </c>
    </row>
    <row r="21" spans="2:6">
      <c r="B21" s="8" t="s">
        <v>38</v>
      </c>
      <c r="C21" s="9" t="s">
        <v>4</v>
      </c>
      <c r="D21" s="10" t="s">
        <v>39</v>
      </c>
      <c r="E21" s="9" t="s">
        <v>23</v>
      </c>
      <c r="F21" s="9">
        <v>26</v>
      </c>
    </row>
    <row r="22" spans="2:6">
      <c r="B22" s="8" t="s">
        <v>40</v>
      </c>
      <c r="C22" s="9" t="s">
        <v>4</v>
      </c>
      <c r="D22" s="10" t="s">
        <v>41</v>
      </c>
      <c r="E22" s="9" t="s">
        <v>26</v>
      </c>
      <c r="F22" s="9">
        <v>33</v>
      </c>
    </row>
    <row r="23" spans="2:6">
      <c r="B23" s="8" t="s">
        <v>42</v>
      </c>
      <c r="C23" s="9" t="s">
        <v>4</v>
      </c>
      <c r="D23" s="10" t="s">
        <v>43</v>
      </c>
      <c r="E23" s="9" t="s">
        <v>23</v>
      </c>
      <c r="F23" s="9">
        <v>10</v>
      </c>
    </row>
    <row r="24" spans="2:6">
      <c r="B24" s="8" t="s">
        <v>44</v>
      </c>
      <c r="C24" s="9" t="s">
        <v>4</v>
      </c>
      <c r="D24" s="10" t="s">
        <v>45</v>
      </c>
      <c r="E24" s="9" t="s">
        <v>26</v>
      </c>
      <c r="F24" s="9">
        <v>20</v>
      </c>
    </row>
    <row r="25" spans="2:6">
      <c r="B25" s="8" t="s">
        <v>46</v>
      </c>
      <c r="C25" s="9" t="s">
        <v>4</v>
      </c>
      <c r="D25" s="10" t="s">
        <v>47</v>
      </c>
      <c r="E25" s="9" t="s">
        <v>26</v>
      </c>
      <c r="F25" s="9">
        <v>9</v>
      </c>
    </row>
    <row r="26" spans="2:6">
      <c r="B26" s="8" t="s">
        <v>48</v>
      </c>
      <c r="C26" s="9" t="s">
        <v>4</v>
      </c>
      <c r="D26" s="10" t="s">
        <v>49</v>
      </c>
      <c r="E26" s="9" t="s">
        <v>23</v>
      </c>
      <c r="F26" s="9">
        <v>13</v>
      </c>
    </row>
    <row r="27" spans="2:6">
      <c r="B27" s="8" t="s">
        <v>50</v>
      </c>
      <c r="C27" s="9" t="s">
        <v>4</v>
      </c>
      <c r="D27" s="10" t="s">
        <v>51</v>
      </c>
      <c r="E27" s="9" t="s">
        <v>52</v>
      </c>
      <c r="F27" s="9">
        <v>4</v>
      </c>
    </row>
    <row r="28" spans="2:6">
      <c r="B28" s="8" t="s">
        <v>53</v>
      </c>
      <c r="C28" s="9" t="s">
        <v>4</v>
      </c>
      <c r="D28" s="10" t="s">
        <v>54</v>
      </c>
      <c r="E28" s="9" t="s">
        <v>31</v>
      </c>
      <c r="F28" s="9">
        <v>3</v>
      </c>
    </row>
    <row r="29" spans="2:6">
      <c r="B29" s="8" t="s">
        <v>55</v>
      </c>
      <c r="C29" s="9" t="s">
        <v>4</v>
      </c>
      <c r="D29" s="10" t="s">
        <v>56</v>
      </c>
      <c r="E29" s="9" t="s">
        <v>31</v>
      </c>
      <c r="F29" s="9">
        <v>7</v>
      </c>
    </row>
    <row r="30" spans="2:6">
      <c r="B30" s="8" t="s">
        <v>57</v>
      </c>
      <c r="C30" s="9" t="s">
        <v>4</v>
      </c>
      <c r="D30" s="10" t="s">
        <v>58</v>
      </c>
      <c r="E30" s="9" t="s">
        <v>52</v>
      </c>
      <c r="F30" s="9">
        <v>14</v>
      </c>
    </row>
    <row r="31" spans="2:6">
      <c r="B31" s="8" t="s">
        <v>59</v>
      </c>
      <c r="C31" s="9" t="s">
        <v>4</v>
      </c>
      <c r="D31" s="10" t="s">
        <v>60</v>
      </c>
      <c r="E31" s="9" t="s">
        <v>52</v>
      </c>
      <c r="F31" s="9">
        <v>11</v>
      </c>
    </row>
    <row r="32" spans="2:6">
      <c r="B32" s="8" t="s">
        <v>61</v>
      </c>
      <c r="C32" s="9" t="s">
        <v>4</v>
      </c>
      <c r="D32" s="10" t="s">
        <v>62</v>
      </c>
      <c r="E32" s="9" t="s">
        <v>52</v>
      </c>
      <c r="F32" s="9">
        <v>7</v>
      </c>
    </row>
    <row r="33" spans="2:6">
      <c r="B33" s="8" t="s">
        <v>63</v>
      </c>
      <c r="C33" s="9" t="s">
        <v>4</v>
      </c>
      <c r="D33" s="10" t="s">
        <v>64</v>
      </c>
      <c r="E33" s="9" t="s">
        <v>52</v>
      </c>
      <c r="F33" s="9">
        <v>13</v>
      </c>
    </row>
    <row r="34" spans="2:6">
      <c r="B34" s="8" t="s">
        <v>63</v>
      </c>
      <c r="C34" s="9" t="s">
        <v>4</v>
      </c>
      <c r="D34" s="10" t="s">
        <v>65</v>
      </c>
      <c r="E34" s="9" t="s">
        <v>52</v>
      </c>
      <c r="F34" s="9">
        <v>21</v>
      </c>
    </row>
  </sheetData>
  <mergeCells count="6">
    <mergeCell ref="C8:D8"/>
    <mergeCell ref="C3:D3"/>
    <mergeCell ref="C4:D4"/>
    <mergeCell ref="C5:D5"/>
    <mergeCell ref="C6:D6"/>
    <mergeCell ref="C7: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C448-2AEF-465F-BBBC-F0E11D9A3DBA}">
  <dimension ref="A1:N84"/>
  <sheetViews>
    <sheetView zoomScale="45" workbookViewId="0">
      <selection activeCell="C1" sqref="C1"/>
    </sheetView>
  </sheetViews>
  <sheetFormatPr defaultRowHeight="14.5"/>
  <cols>
    <col min="2" max="2" width="12.7265625" customWidth="1"/>
    <col min="3" max="3" width="16.7265625" customWidth="1"/>
    <col min="4" max="4" width="16.08984375" customWidth="1"/>
    <col min="5" max="5" width="34.453125" style="114" customWidth="1"/>
    <col min="6" max="6" width="23.7265625" customWidth="1"/>
    <col min="7" max="7" width="19.90625" customWidth="1"/>
    <col min="8" max="8" width="13.26953125" customWidth="1"/>
    <col min="9" max="9" width="14.6328125" customWidth="1"/>
    <col min="10" max="10" width="12.36328125" customWidth="1"/>
  </cols>
  <sheetData>
    <row r="1" spans="1:14" ht="15.5" thickBot="1">
      <c r="A1" s="138" t="s">
        <v>67</v>
      </c>
      <c r="B1" s="138"/>
      <c r="C1" s="12" t="s">
        <v>68</v>
      </c>
      <c r="D1" s="13" t="s">
        <v>69</v>
      </c>
      <c r="E1" s="14" t="s">
        <v>70</v>
      </c>
      <c r="F1" s="15" t="s">
        <v>71</v>
      </c>
      <c r="G1" s="14"/>
      <c r="H1" s="16"/>
      <c r="I1" s="16"/>
      <c r="J1" s="16"/>
      <c r="K1" s="17"/>
      <c r="L1" s="139" t="s">
        <v>72</v>
      </c>
      <c r="M1" s="139"/>
      <c r="N1" s="18"/>
    </row>
    <row r="2" spans="1:14" ht="15" thickBot="1">
      <c r="A2" s="138" t="s">
        <v>73</v>
      </c>
      <c r="B2" s="138"/>
      <c r="C2" s="19" t="s">
        <v>74</v>
      </c>
      <c r="D2" s="20" t="s">
        <v>75</v>
      </c>
      <c r="E2" s="19"/>
      <c r="F2" s="21" t="s">
        <v>76</v>
      </c>
      <c r="G2" s="19" t="s">
        <v>77</v>
      </c>
      <c r="H2" s="16"/>
      <c r="I2" s="16"/>
      <c r="J2" s="16"/>
      <c r="K2" s="17"/>
      <c r="L2" s="22" t="s">
        <v>78</v>
      </c>
      <c r="M2" s="23">
        <f>COUNTIF(L8:L79, "Passed")</f>
        <v>53</v>
      </c>
      <c r="N2" s="18"/>
    </row>
    <row r="3" spans="1:14" ht="26.5" thickBot="1">
      <c r="A3" s="138" t="s">
        <v>79</v>
      </c>
      <c r="B3" s="138"/>
      <c r="C3" s="19"/>
      <c r="D3" s="20" t="s">
        <v>80</v>
      </c>
      <c r="E3" s="19" t="s">
        <v>338</v>
      </c>
      <c r="F3" s="24" t="s">
        <v>81</v>
      </c>
      <c r="G3" s="19" t="s">
        <v>82</v>
      </c>
      <c r="H3" s="16"/>
      <c r="I3" s="16"/>
      <c r="J3" s="16"/>
      <c r="K3" s="17"/>
      <c r="L3" s="25" t="s">
        <v>83</v>
      </c>
      <c r="M3" s="23">
        <f>COUNTIF(L8:L79, "Failed")</f>
        <v>13</v>
      </c>
      <c r="N3" s="18"/>
    </row>
    <row r="4" spans="1:14" ht="41" thickBot="1">
      <c r="A4" s="138" t="s">
        <v>84</v>
      </c>
      <c r="B4" s="138"/>
      <c r="C4" s="19"/>
      <c r="D4" s="20" t="s">
        <v>85</v>
      </c>
      <c r="E4" s="19"/>
      <c r="F4" s="24" t="s">
        <v>86</v>
      </c>
      <c r="G4" s="19" t="s">
        <v>82</v>
      </c>
      <c r="H4" s="16"/>
      <c r="I4" s="16"/>
      <c r="J4" s="16"/>
      <c r="K4" s="17"/>
      <c r="L4" s="26" t="s">
        <v>87</v>
      </c>
      <c r="M4" s="23" t="b">
        <f>M2=COUNTIF(L7:L79, "Not Executed")</f>
        <v>0</v>
      </c>
      <c r="N4" s="18"/>
    </row>
    <row r="5" spans="1:14" ht="27.5" thickBot="1">
      <c r="A5" s="140" t="s">
        <v>88</v>
      </c>
      <c r="B5" s="140"/>
      <c r="C5" s="141"/>
      <c r="D5" s="141"/>
      <c r="E5" s="141"/>
      <c r="F5" s="141"/>
      <c r="G5" s="141"/>
      <c r="H5" s="27"/>
      <c r="I5" s="27"/>
      <c r="J5" s="27"/>
      <c r="K5" s="28"/>
      <c r="L5" s="29" t="s">
        <v>89</v>
      </c>
      <c r="M5" s="30">
        <f>COUNTIF(L7:L399, "Out of Scope")</f>
        <v>0</v>
      </c>
      <c r="N5" s="115"/>
    </row>
    <row r="6" spans="1:14">
      <c r="A6" s="16"/>
      <c r="B6" s="31"/>
      <c r="C6" s="31"/>
      <c r="D6" s="31"/>
      <c r="E6" s="113"/>
      <c r="F6" s="16"/>
      <c r="G6" s="16"/>
      <c r="H6" s="16"/>
      <c r="I6" s="16"/>
      <c r="J6" s="16"/>
      <c r="K6" s="17"/>
      <c r="L6" s="32" t="s">
        <v>90</v>
      </c>
      <c r="M6" s="33">
        <f>SUM(M2:M5)</f>
        <v>66</v>
      </c>
      <c r="N6" s="18"/>
    </row>
    <row r="7" spans="1:14" ht="23" customHeight="1" thickBot="1">
      <c r="A7" s="57" t="s">
        <v>91</v>
      </c>
      <c r="B7" s="58" t="s">
        <v>92</v>
      </c>
      <c r="C7" s="58" t="s">
        <v>93</v>
      </c>
      <c r="D7" s="58" t="s">
        <v>94</v>
      </c>
      <c r="E7" s="59" t="s">
        <v>95</v>
      </c>
      <c r="F7" s="59" t="s">
        <v>96</v>
      </c>
      <c r="G7" s="59" t="s">
        <v>97</v>
      </c>
      <c r="H7" s="59" t="s">
        <v>98</v>
      </c>
      <c r="I7" s="59" t="s">
        <v>99</v>
      </c>
      <c r="J7" s="59" t="s">
        <v>100</v>
      </c>
      <c r="K7" s="59" t="s">
        <v>101</v>
      </c>
      <c r="L7" s="58" t="s">
        <v>102</v>
      </c>
      <c r="M7" s="60" t="s">
        <v>103</v>
      </c>
      <c r="N7" s="61"/>
    </row>
    <row r="8" spans="1:14" ht="78.5" customHeight="1" thickBot="1">
      <c r="A8" s="75">
        <v>1</v>
      </c>
      <c r="B8" s="34"/>
      <c r="C8" s="81" t="s">
        <v>104</v>
      </c>
      <c r="D8" s="75"/>
      <c r="E8" s="34" t="s">
        <v>105</v>
      </c>
      <c r="F8" s="34" t="s">
        <v>106</v>
      </c>
      <c r="G8" s="34" t="s">
        <v>107</v>
      </c>
      <c r="H8" s="34" t="s">
        <v>108</v>
      </c>
      <c r="I8" s="34" t="s">
        <v>109</v>
      </c>
      <c r="J8" s="82"/>
      <c r="K8" s="82"/>
      <c r="L8" s="35" t="s">
        <v>110</v>
      </c>
      <c r="M8" s="62"/>
      <c r="N8" s="63"/>
    </row>
    <row r="9" spans="1:14" ht="15" thickBot="1">
      <c r="A9" s="74"/>
      <c r="B9" s="39"/>
      <c r="C9" s="39"/>
      <c r="D9" s="88"/>
      <c r="E9" s="83"/>
      <c r="F9" s="83"/>
      <c r="G9" s="83"/>
      <c r="H9" s="83"/>
      <c r="I9" s="83"/>
      <c r="J9" s="83"/>
      <c r="K9" s="83"/>
      <c r="L9" s="64"/>
      <c r="M9" s="65"/>
      <c r="N9" s="66"/>
    </row>
    <row r="10" spans="1:14" ht="160.5" customHeight="1" thickBot="1">
      <c r="A10" s="75">
        <v>2</v>
      </c>
      <c r="B10" s="124" t="s">
        <v>111</v>
      </c>
      <c r="C10" s="127" t="s">
        <v>112</v>
      </c>
      <c r="D10" s="128" t="s">
        <v>113</v>
      </c>
      <c r="E10" s="34" t="s">
        <v>114</v>
      </c>
      <c r="F10" s="34" t="s">
        <v>115</v>
      </c>
      <c r="G10" s="34" t="s">
        <v>107</v>
      </c>
      <c r="H10" s="34" t="s">
        <v>116</v>
      </c>
      <c r="I10" s="34" t="s">
        <v>117</v>
      </c>
      <c r="J10" s="84"/>
      <c r="K10" s="84"/>
      <c r="L10" s="37" t="s">
        <v>110</v>
      </c>
      <c r="M10" s="67"/>
      <c r="N10" s="68"/>
    </row>
    <row r="11" spans="1:14" ht="102" thickBot="1">
      <c r="A11" s="75">
        <v>3</v>
      </c>
      <c r="B11" s="125"/>
      <c r="C11" s="127"/>
      <c r="D11" s="128"/>
      <c r="E11" s="34" t="s">
        <v>118</v>
      </c>
      <c r="F11" s="34" t="s">
        <v>119</v>
      </c>
      <c r="G11" s="34" t="s">
        <v>107</v>
      </c>
      <c r="H11" s="34" t="s">
        <v>116</v>
      </c>
      <c r="I11" s="34" t="s">
        <v>120</v>
      </c>
      <c r="J11" s="84"/>
      <c r="K11" s="84"/>
      <c r="L11" s="37" t="s">
        <v>110</v>
      </c>
      <c r="M11" s="67"/>
      <c r="N11" s="68"/>
    </row>
    <row r="12" spans="1:14" ht="73" thickBot="1">
      <c r="A12" s="75">
        <v>4</v>
      </c>
      <c r="B12" s="125"/>
      <c r="C12" s="127"/>
      <c r="D12" s="128"/>
      <c r="E12" s="34" t="s">
        <v>121</v>
      </c>
      <c r="F12" s="34" t="s">
        <v>122</v>
      </c>
      <c r="G12" s="34" t="s">
        <v>107</v>
      </c>
      <c r="H12" s="34" t="s">
        <v>116</v>
      </c>
      <c r="I12" s="34" t="s">
        <v>123</v>
      </c>
      <c r="J12" s="84"/>
      <c r="K12" s="84"/>
      <c r="L12" s="37" t="s">
        <v>110</v>
      </c>
      <c r="M12" s="67"/>
      <c r="N12" s="68"/>
    </row>
    <row r="13" spans="1:14" ht="144.5" customHeight="1" thickBot="1">
      <c r="A13" s="75">
        <v>5</v>
      </c>
      <c r="B13" s="125"/>
      <c r="C13" s="127"/>
      <c r="D13" s="128"/>
      <c r="E13" s="34" t="s">
        <v>124</v>
      </c>
      <c r="F13" s="34" t="s">
        <v>125</v>
      </c>
      <c r="G13" s="34" t="s">
        <v>126</v>
      </c>
      <c r="H13" s="34" t="s">
        <v>116</v>
      </c>
      <c r="I13" s="34" t="s">
        <v>127</v>
      </c>
      <c r="J13" s="98" t="s">
        <v>339</v>
      </c>
      <c r="K13" s="116"/>
      <c r="L13" s="37" t="s">
        <v>128</v>
      </c>
      <c r="M13" s="38"/>
      <c r="N13" s="38"/>
    </row>
    <row r="14" spans="1:14" ht="58.5" thickBot="1">
      <c r="A14" s="75">
        <v>6</v>
      </c>
      <c r="B14" s="125"/>
      <c r="C14" s="127"/>
      <c r="D14" s="128"/>
      <c r="E14" s="34" t="s">
        <v>129</v>
      </c>
      <c r="F14" s="34" t="s">
        <v>130</v>
      </c>
      <c r="G14" s="34" t="s">
        <v>107</v>
      </c>
      <c r="H14" s="34" t="s">
        <v>116</v>
      </c>
      <c r="I14" s="34" t="s">
        <v>131</v>
      </c>
      <c r="J14" s="90"/>
      <c r="K14" s="90"/>
      <c r="L14" s="37" t="s">
        <v>110</v>
      </c>
      <c r="M14" s="38"/>
      <c r="N14" s="38"/>
    </row>
    <row r="15" spans="1:14" ht="131" thickBot="1">
      <c r="A15" s="75">
        <v>7</v>
      </c>
      <c r="B15" s="125"/>
      <c r="C15" s="127"/>
      <c r="D15" s="128"/>
      <c r="E15" s="34" t="s">
        <v>132</v>
      </c>
      <c r="F15" s="34" t="s">
        <v>133</v>
      </c>
      <c r="G15" s="34" t="s">
        <v>107</v>
      </c>
      <c r="H15" s="34" t="s">
        <v>116</v>
      </c>
      <c r="I15" s="34" t="s">
        <v>134</v>
      </c>
      <c r="J15" s="90"/>
      <c r="K15" s="90"/>
      <c r="L15" s="37" t="s">
        <v>110</v>
      </c>
      <c r="M15" s="38"/>
      <c r="N15" s="38"/>
    </row>
    <row r="16" spans="1:14" ht="131" thickBot="1">
      <c r="A16" s="75">
        <v>8</v>
      </c>
      <c r="B16" s="125"/>
      <c r="C16" s="127"/>
      <c r="D16" s="128"/>
      <c r="E16" s="34" t="s">
        <v>135</v>
      </c>
      <c r="F16" s="34" t="s">
        <v>136</v>
      </c>
      <c r="G16" s="34" t="s">
        <v>107</v>
      </c>
      <c r="H16" s="34" t="s">
        <v>116</v>
      </c>
      <c r="I16" s="34" t="s">
        <v>137</v>
      </c>
      <c r="J16" s="90"/>
      <c r="K16" s="90"/>
      <c r="L16" s="37" t="s">
        <v>110</v>
      </c>
      <c r="M16" s="38"/>
      <c r="N16" s="38"/>
    </row>
    <row r="17" spans="1:14" ht="131" thickBot="1">
      <c r="A17" s="75">
        <v>9</v>
      </c>
      <c r="B17" s="125"/>
      <c r="C17" s="127"/>
      <c r="D17" s="128"/>
      <c r="E17" s="34" t="s">
        <v>138</v>
      </c>
      <c r="F17" s="34" t="s">
        <v>139</v>
      </c>
      <c r="G17" s="34" t="s">
        <v>107</v>
      </c>
      <c r="H17" s="34" t="s">
        <v>116</v>
      </c>
      <c r="I17" s="34" t="s">
        <v>134</v>
      </c>
      <c r="J17" s="90"/>
      <c r="K17" s="90"/>
      <c r="L17" s="37" t="s">
        <v>110</v>
      </c>
      <c r="M17" s="38"/>
      <c r="N17" s="38"/>
    </row>
    <row r="18" spans="1:14" ht="145.5" thickBot="1">
      <c r="A18" s="75">
        <v>10</v>
      </c>
      <c r="B18" s="125"/>
      <c r="C18" s="127"/>
      <c r="D18" s="128"/>
      <c r="E18" s="34" t="s">
        <v>140</v>
      </c>
      <c r="F18" s="34" t="s">
        <v>141</v>
      </c>
      <c r="G18" s="34" t="s">
        <v>126</v>
      </c>
      <c r="H18" s="34" t="s">
        <v>116</v>
      </c>
      <c r="I18" s="34" t="s">
        <v>142</v>
      </c>
      <c r="J18" s="89" t="s">
        <v>143</v>
      </c>
      <c r="K18" s="90"/>
      <c r="L18" s="37" t="s">
        <v>128</v>
      </c>
      <c r="M18" s="38"/>
      <c r="N18" s="38"/>
    </row>
    <row r="19" spans="1:14" ht="145.5" thickBot="1">
      <c r="A19" s="75">
        <v>11</v>
      </c>
      <c r="B19" s="125"/>
      <c r="C19" s="127"/>
      <c r="D19" s="128"/>
      <c r="E19" s="34" t="s">
        <v>144</v>
      </c>
      <c r="F19" s="34" t="s">
        <v>145</v>
      </c>
      <c r="G19" s="34" t="s">
        <v>107</v>
      </c>
      <c r="H19" s="34" t="s">
        <v>116</v>
      </c>
      <c r="I19" s="34" t="s">
        <v>146</v>
      </c>
      <c r="J19" s="90"/>
      <c r="K19" s="90"/>
      <c r="L19" s="37" t="s">
        <v>110</v>
      </c>
      <c r="M19" s="38"/>
      <c r="N19" s="38"/>
    </row>
    <row r="20" spans="1:14" ht="160" thickBot="1">
      <c r="A20" s="75">
        <v>12</v>
      </c>
      <c r="B20" s="125"/>
      <c r="C20" s="127"/>
      <c r="D20" s="128"/>
      <c r="E20" s="34" t="s">
        <v>147</v>
      </c>
      <c r="F20" s="34" t="s">
        <v>148</v>
      </c>
      <c r="G20" s="34" t="s">
        <v>107</v>
      </c>
      <c r="H20" s="34" t="s">
        <v>116</v>
      </c>
      <c r="I20" s="34" t="s">
        <v>149</v>
      </c>
      <c r="J20" s="90"/>
      <c r="K20" s="90"/>
      <c r="L20" s="37" t="s">
        <v>110</v>
      </c>
      <c r="M20" s="38"/>
      <c r="N20" s="38"/>
    </row>
    <row r="21" spans="1:14" ht="131" thickBot="1">
      <c r="A21" s="75">
        <v>13</v>
      </c>
      <c r="B21" s="125"/>
      <c r="C21" s="127"/>
      <c r="D21" s="128"/>
      <c r="E21" s="34" t="s">
        <v>150</v>
      </c>
      <c r="F21" s="34" t="s">
        <v>151</v>
      </c>
      <c r="G21" s="34" t="s">
        <v>107</v>
      </c>
      <c r="H21" s="34" t="s">
        <v>116</v>
      </c>
      <c r="I21" s="34" t="s">
        <v>152</v>
      </c>
      <c r="J21" s="90"/>
      <c r="K21" s="90"/>
      <c r="L21" s="37" t="s">
        <v>110</v>
      </c>
      <c r="M21" s="38"/>
      <c r="N21" s="38"/>
    </row>
    <row r="22" spans="1:14" ht="145.5" thickBot="1">
      <c r="A22" s="75">
        <v>14</v>
      </c>
      <c r="B22" s="125"/>
      <c r="C22" s="127"/>
      <c r="D22" s="128"/>
      <c r="E22" s="34" t="s">
        <v>153</v>
      </c>
      <c r="F22" s="34" t="s">
        <v>154</v>
      </c>
      <c r="G22" s="34" t="s">
        <v>107</v>
      </c>
      <c r="H22" s="34" t="s">
        <v>116</v>
      </c>
      <c r="I22" s="34" t="s">
        <v>155</v>
      </c>
      <c r="J22" s="90"/>
      <c r="K22" s="90"/>
      <c r="L22" s="37" t="s">
        <v>110</v>
      </c>
      <c r="M22" s="38"/>
      <c r="N22" s="38"/>
    </row>
    <row r="23" spans="1:14" ht="147" customHeight="1" thickBot="1">
      <c r="A23" s="75">
        <v>15</v>
      </c>
      <c r="B23" s="125"/>
      <c r="C23" s="127"/>
      <c r="D23" s="128"/>
      <c r="E23" s="34" t="s">
        <v>156</v>
      </c>
      <c r="F23" s="34" t="s">
        <v>157</v>
      </c>
      <c r="G23" s="34" t="s">
        <v>107</v>
      </c>
      <c r="H23" s="34" t="s">
        <v>116</v>
      </c>
      <c r="I23" s="34" t="s">
        <v>158</v>
      </c>
      <c r="J23" s="90"/>
      <c r="K23" s="90"/>
      <c r="L23" s="37" t="s">
        <v>110</v>
      </c>
      <c r="M23" s="38"/>
      <c r="N23" s="38"/>
    </row>
    <row r="24" spans="1:14" ht="159.5" customHeight="1" thickBot="1">
      <c r="A24" s="75">
        <v>16</v>
      </c>
      <c r="B24" s="125"/>
      <c r="C24" s="127"/>
      <c r="D24" s="128"/>
      <c r="E24" s="34" t="s">
        <v>159</v>
      </c>
      <c r="F24" s="34" t="s">
        <v>160</v>
      </c>
      <c r="G24" s="34" t="s">
        <v>107</v>
      </c>
      <c r="H24" s="34" t="s">
        <v>116</v>
      </c>
      <c r="I24" s="34" t="s">
        <v>161</v>
      </c>
      <c r="J24" s="90"/>
      <c r="K24" s="90"/>
      <c r="L24" s="37" t="s">
        <v>110</v>
      </c>
      <c r="M24" s="38"/>
      <c r="N24" s="38"/>
    </row>
    <row r="25" spans="1:14" ht="15" thickBot="1">
      <c r="A25" s="74"/>
      <c r="B25" s="125"/>
      <c r="C25" s="85"/>
      <c r="D25" s="128"/>
      <c r="E25" s="39"/>
      <c r="F25" s="39"/>
      <c r="G25" s="39"/>
      <c r="H25" s="39"/>
      <c r="I25" s="39"/>
      <c r="J25" s="91"/>
      <c r="K25" s="91"/>
      <c r="L25" s="40"/>
      <c r="M25" s="41"/>
      <c r="N25" s="41"/>
    </row>
    <row r="26" spans="1:14" ht="145.5" thickBot="1">
      <c r="A26" s="76">
        <v>17</v>
      </c>
      <c r="B26" s="125"/>
      <c r="C26" s="128" t="s">
        <v>162</v>
      </c>
      <c r="D26" s="128"/>
      <c r="E26" s="43" t="s">
        <v>163</v>
      </c>
      <c r="F26" s="43" t="s">
        <v>164</v>
      </c>
      <c r="G26" s="43" t="s">
        <v>107</v>
      </c>
      <c r="H26" s="43" t="s">
        <v>116</v>
      </c>
      <c r="I26" s="43" t="s">
        <v>165</v>
      </c>
      <c r="J26" s="46"/>
      <c r="K26" s="46"/>
      <c r="L26" s="35" t="s">
        <v>110</v>
      </c>
      <c r="M26" s="42"/>
      <c r="N26" s="44"/>
    </row>
    <row r="27" spans="1:14" ht="160" thickBot="1">
      <c r="A27" s="76">
        <v>18</v>
      </c>
      <c r="B27" s="125"/>
      <c r="C27" s="128"/>
      <c r="D27" s="128"/>
      <c r="E27" s="43" t="s">
        <v>166</v>
      </c>
      <c r="F27" s="34" t="s">
        <v>167</v>
      </c>
      <c r="G27" s="43" t="s">
        <v>107</v>
      </c>
      <c r="H27" s="43" t="s">
        <v>168</v>
      </c>
      <c r="I27" s="43" t="s">
        <v>169</v>
      </c>
      <c r="J27" s="43"/>
      <c r="K27" s="46"/>
      <c r="L27" s="35" t="s">
        <v>110</v>
      </c>
      <c r="M27" s="45"/>
      <c r="N27" s="44"/>
    </row>
    <row r="28" spans="1:14" ht="131" thickBot="1">
      <c r="A28" s="76">
        <v>19</v>
      </c>
      <c r="B28" s="125"/>
      <c r="C28" s="128"/>
      <c r="D28" s="128"/>
      <c r="E28" s="43" t="s">
        <v>170</v>
      </c>
      <c r="F28" s="34" t="s">
        <v>171</v>
      </c>
      <c r="G28" s="43" t="s">
        <v>126</v>
      </c>
      <c r="H28" s="43" t="s">
        <v>172</v>
      </c>
      <c r="I28" s="92" t="s">
        <v>173</v>
      </c>
      <c r="J28" s="117" t="s">
        <v>174</v>
      </c>
      <c r="K28" s="46"/>
      <c r="L28" s="35" t="s">
        <v>128</v>
      </c>
      <c r="M28" s="45"/>
      <c r="N28" s="44"/>
    </row>
    <row r="29" spans="1:14" ht="131" thickBot="1">
      <c r="A29" s="76">
        <v>20</v>
      </c>
      <c r="B29" s="125"/>
      <c r="C29" s="128"/>
      <c r="D29" s="128"/>
      <c r="E29" s="43" t="s">
        <v>175</v>
      </c>
      <c r="F29" s="34" t="s">
        <v>171</v>
      </c>
      <c r="G29" s="43" t="s">
        <v>176</v>
      </c>
      <c r="H29" s="43" t="s">
        <v>177</v>
      </c>
      <c r="I29" s="43" t="s">
        <v>178</v>
      </c>
      <c r="J29" s="118" t="s">
        <v>179</v>
      </c>
      <c r="K29" s="46"/>
      <c r="L29" s="35" t="s">
        <v>128</v>
      </c>
      <c r="M29" s="45"/>
      <c r="N29" s="44"/>
    </row>
    <row r="30" spans="1:14" ht="116.5" thickBot="1">
      <c r="A30" s="76">
        <v>21</v>
      </c>
      <c r="B30" s="125"/>
      <c r="C30" s="128"/>
      <c r="D30" s="128"/>
      <c r="E30" s="43" t="s">
        <v>180</v>
      </c>
      <c r="F30" s="34" t="s">
        <v>181</v>
      </c>
      <c r="G30" s="43" t="s">
        <v>176</v>
      </c>
      <c r="H30" s="43" t="s">
        <v>116</v>
      </c>
      <c r="I30" s="43" t="s">
        <v>182</v>
      </c>
      <c r="J30" s="43"/>
      <c r="K30" s="46"/>
      <c r="L30" s="35" t="s">
        <v>110</v>
      </c>
      <c r="M30" s="45"/>
      <c r="N30" s="44"/>
    </row>
    <row r="31" spans="1:14" ht="116.5" thickBot="1">
      <c r="A31" s="76">
        <v>22</v>
      </c>
      <c r="B31" s="125"/>
      <c r="C31" s="128"/>
      <c r="D31" s="128"/>
      <c r="E31" s="43" t="s">
        <v>183</v>
      </c>
      <c r="F31" s="34" t="s">
        <v>171</v>
      </c>
      <c r="G31" s="43" t="s">
        <v>176</v>
      </c>
      <c r="H31" s="93" t="s">
        <v>184</v>
      </c>
      <c r="I31" s="43" t="s">
        <v>185</v>
      </c>
      <c r="J31" s="94" t="s">
        <v>186</v>
      </c>
      <c r="K31" s="46"/>
      <c r="L31" s="35" t="s">
        <v>128</v>
      </c>
      <c r="M31" s="45"/>
      <c r="N31" s="44"/>
    </row>
    <row r="32" spans="1:14" ht="116.5" thickBot="1">
      <c r="A32" s="76">
        <v>23</v>
      </c>
      <c r="B32" s="125"/>
      <c r="C32" s="128"/>
      <c r="D32" s="128"/>
      <c r="E32" s="43" t="s">
        <v>187</v>
      </c>
      <c r="F32" s="34" t="s">
        <v>171</v>
      </c>
      <c r="G32" s="43" t="s">
        <v>176</v>
      </c>
      <c r="H32" s="43">
        <v>60046</v>
      </c>
      <c r="I32" s="43" t="s">
        <v>188</v>
      </c>
      <c r="J32" s="95" t="s">
        <v>189</v>
      </c>
      <c r="K32" s="46"/>
      <c r="L32" s="35" t="s">
        <v>128</v>
      </c>
      <c r="M32" s="45"/>
      <c r="N32" s="44"/>
    </row>
    <row r="33" spans="1:14" ht="116.5" thickBot="1">
      <c r="A33" s="76">
        <v>24</v>
      </c>
      <c r="B33" s="125"/>
      <c r="C33" s="128"/>
      <c r="D33" s="128"/>
      <c r="E33" s="43" t="s">
        <v>190</v>
      </c>
      <c r="F33" s="34" t="s">
        <v>171</v>
      </c>
      <c r="G33" s="43" t="s">
        <v>176</v>
      </c>
      <c r="H33" s="43">
        <v>46.134999999999998</v>
      </c>
      <c r="I33" s="43" t="s">
        <v>191</v>
      </c>
      <c r="J33" s="94" t="s">
        <v>192</v>
      </c>
      <c r="K33" s="46"/>
      <c r="L33" s="35" t="s">
        <v>128</v>
      </c>
      <c r="M33" s="45"/>
      <c r="N33" s="44"/>
    </row>
    <row r="34" spans="1:14" ht="116.5" thickBot="1">
      <c r="A34" s="76">
        <v>25</v>
      </c>
      <c r="B34" s="125"/>
      <c r="C34" s="128"/>
      <c r="D34" s="128"/>
      <c r="E34" s="43" t="s">
        <v>193</v>
      </c>
      <c r="F34" s="34" t="s">
        <v>167</v>
      </c>
      <c r="G34" s="43" t="s">
        <v>107</v>
      </c>
      <c r="H34" s="43" t="s">
        <v>194</v>
      </c>
      <c r="I34" s="43" t="s">
        <v>195</v>
      </c>
      <c r="J34" s="43"/>
      <c r="K34" s="46"/>
      <c r="L34" s="35" t="s">
        <v>110</v>
      </c>
      <c r="M34" s="45"/>
      <c r="N34" s="44"/>
    </row>
    <row r="35" spans="1:14" ht="116.5" thickBot="1">
      <c r="A35" s="76">
        <v>26</v>
      </c>
      <c r="B35" s="125"/>
      <c r="C35" s="128"/>
      <c r="D35" s="128"/>
      <c r="E35" s="43" t="s">
        <v>196</v>
      </c>
      <c r="F35" s="34" t="s">
        <v>167</v>
      </c>
      <c r="G35" s="43" t="s">
        <v>107</v>
      </c>
      <c r="H35" s="43" t="s">
        <v>197</v>
      </c>
      <c r="I35" s="43" t="s">
        <v>198</v>
      </c>
      <c r="J35" s="43"/>
      <c r="K35" s="46"/>
      <c r="L35" s="35" t="s">
        <v>110</v>
      </c>
      <c r="M35" s="45"/>
      <c r="N35" s="44"/>
    </row>
    <row r="36" spans="1:14" ht="160" thickBot="1">
      <c r="A36" s="76">
        <v>27</v>
      </c>
      <c r="B36" s="125"/>
      <c r="C36" s="128"/>
      <c r="D36" s="128"/>
      <c r="E36" s="43" t="s">
        <v>199</v>
      </c>
      <c r="F36" s="34" t="s">
        <v>171</v>
      </c>
      <c r="G36" s="43" t="s">
        <v>176</v>
      </c>
      <c r="H36" s="43" t="s">
        <v>200</v>
      </c>
      <c r="I36" s="43" t="s">
        <v>201</v>
      </c>
      <c r="J36" s="94" t="s">
        <v>202</v>
      </c>
      <c r="K36" s="46"/>
      <c r="L36" s="35" t="s">
        <v>128</v>
      </c>
      <c r="M36" s="45"/>
      <c r="N36" s="44"/>
    </row>
    <row r="37" spans="1:14" ht="160" thickBot="1">
      <c r="A37" s="76">
        <v>28</v>
      </c>
      <c r="B37" s="125"/>
      <c r="C37" s="128"/>
      <c r="D37" s="128"/>
      <c r="E37" s="43" t="s">
        <v>203</v>
      </c>
      <c r="F37" s="34" t="s">
        <v>167</v>
      </c>
      <c r="G37" s="43" t="s">
        <v>107</v>
      </c>
      <c r="H37" s="43" t="s">
        <v>204</v>
      </c>
      <c r="I37" s="43" t="s">
        <v>205</v>
      </c>
      <c r="J37" s="43"/>
      <c r="K37" s="46"/>
      <c r="L37" s="35" t="s">
        <v>110</v>
      </c>
      <c r="M37" s="45"/>
      <c r="N37" s="44"/>
    </row>
    <row r="38" spans="1:14" ht="145.5" thickBot="1">
      <c r="A38" s="76">
        <v>29</v>
      </c>
      <c r="B38" s="125"/>
      <c r="C38" s="128"/>
      <c r="D38" s="128"/>
      <c r="E38" s="43" t="s">
        <v>206</v>
      </c>
      <c r="F38" s="34" t="s">
        <v>207</v>
      </c>
      <c r="G38" s="43" t="s">
        <v>208</v>
      </c>
      <c r="H38" s="96" t="s">
        <v>209</v>
      </c>
      <c r="I38" s="43" t="s">
        <v>210</v>
      </c>
      <c r="J38" s="43"/>
      <c r="K38" s="43"/>
      <c r="L38" s="35" t="s">
        <v>110</v>
      </c>
      <c r="M38" s="45"/>
      <c r="N38" s="44"/>
    </row>
    <row r="39" spans="1:14" ht="160" thickBot="1">
      <c r="A39" s="76">
        <v>30</v>
      </c>
      <c r="B39" s="125"/>
      <c r="C39" s="128"/>
      <c r="D39" s="128"/>
      <c r="E39" s="43" t="s">
        <v>211</v>
      </c>
      <c r="F39" s="43" t="s">
        <v>212</v>
      </c>
      <c r="G39" s="43" t="s">
        <v>208</v>
      </c>
      <c r="H39" s="96" t="s">
        <v>213</v>
      </c>
      <c r="I39" s="43" t="s">
        <v>214</v>
      </c>
      <c r="J39" s="43"/>
      <c r="K39" s="43"/>
      <c r="L39" s="35" t="s">
        <v>110</v>
      </c>
      <c r="M39" s="45"/>
      <c r="N39" s="44"/>
    </row>
    <row r="40" spans="1:14" ht="145.5" thickBot="1">
      <c r="A40" s="76">
        <v>31</v>
      </c>
      <c r="B40" s="125"/>
      <c r="C40" s="128"/>
      <c r="D40" s="128"/>
      <c r="E40" s="43" t="s">
        <v>215</v>
      </c>
      <c r="F40" s="43" t="s">
        <v>167</v>
      </c>
      <c r="G40" s="43" t="s">
        <v>107</v>
      </c>
      <c r="H40" s="96" t="s">
        <v>209</v>
      </c>
      <c r="I40" s="43" t="s">
        <v>216</v>
      </c>
      <c r="J40" s="43"/>
      <c r="K40" s="43"/>
      <c r="L40" s="35" t="s">
        <v>110</v>
      </c>
      <c r="M40" s="45"/>
      <c r="N40" s="44"/>
    </row>
    <row r="41" spans="1:14" ht="160" thickBot="1">
      <c r="A41" s="76">
        <v>32</v>
      </c>
      <c r="B41" s="125"/>
      <c r="C41" s="128"/>
      <c r="D41" s="128"/>
      <c r="E41" s="43" t="s">
        <v>217</v>
      </c>
      <c r="F41" s="43" t="s">
        <v>218</v>
      </c>
      <c r="G41" s="43" t="s">
        <v>107</v>
      </c>
      <c r="H41" s="96" t="s">
        <v>219</v>
      </c>
      <c r="I41" s="43" t="s">
        <v>220</v>
      </c>
      <c r="J41" s="43"/>
      <c r="K41" s="43"/>
      <c r="L41" s="35" t="s">
        <v>110</v>
      </c>
      <c r="M41" s="45"/>
      <c r="N41" s="44"/>
    </row>
    <row r="42" spans="1:14" ht="145.5" thickBot="1">
      <c r="A42" s="76">
        <v>33</v>
      </c>
      <c r="B42" s="125"/>
      <c r="C42" s="128"/>
      <c r="D42" s="128"/>
      <c r="E42" s="43" t="s">
        <v>221</v>
      </c>
      <c r="F42" s="43" t="s">
        <v>167</v>
      </c>
      <c r="G42" s="43" t="s">
        <v>107</v>
      </c>
      <c r="H42" s="97" t="s">
        <v>222</v>
      </c>
      <c r="I42" s="43" t="s">
        <v>223</v>
      </c>
      <c r="J42" s="43"/>
      <c r="K42" s="43"/>
      <c r="L42" s="35" t="s">
        <v>110</v>
      </c>
      <c r="M42" s="45"/>
      <c r="N42" s="44"/>
    </row>
    <row r="43" spans="1:14" ht="160" thickBot="1">
      <c r="A43" s="76">
        <v>34</v>
      </c>
      <c r="B43" s="125"/>
      <c r="C43" s="128"/>
      <c r="D43" s="128"/>
      <c r="E43" s="34" t="s">
        <v>224</v>
      </c>
      <c r="F43" s="34" t="s">
        <v>225</v>
      </c>
      <c r="G43" s="43" t="s">
        <v>107</v>
      </c>
      <c r="H43" s="43" t="s">
        <v>226</v>
      </c>
      <c r="I43" s="43" t="s">
        <v>227</v>
      </c>
      <c r="J43" s="43"/>
      <c r="K43" s="43"/>
      <c r="L43" s="35" t="s">
        <v>110</v>
      </c>
      <c r="M43" s="35"/>
      <c r="N43" s="44"/>
    </row>
    <row r="44" spans="1:14" ht="131" thickBot="1">
      <c r="A44" s="76">
        <v>35</v>
      </c>
      <c r="B44" s="125"/>
      <c r="C44" s="128"/>
      <c r="D44" s="128"/>
      <c r="E44" s="34" t="s">
        <v>228</v>
      </c>
      <c r="F44" s="34" t="s">
        <v>229</v>
      </c>
      <c r="G44" s="43" t="s">
        <v>107</v>
      </c>
      <c r="H44" s="43" t="s">
        <v>230</v>
      </c>
      <c r="I44" s="43" t="s">
        <v>231</v>
      </c>
      <c r="J44" s="43"/>
      <c r="K44" s="43"/>
      <c r="L44" s="35" t="s">
        <v>110</v>
      </c>
      <c r="M44" s="35"/>
      <c r="N44" s="44"/>
    </row>
    <row r="45" spans="1:14" ht="131" thickBot="1">
      <c r="A45" s="76">
        <v>36</v>
      </c>
      <c r="B45" s="125"/>
      <c r="C45" s="128"/>
      <c r="D45" s="128"/>
      <c r="E45" s="34" t="s">
        <v>232</v>
      </c>
      <c r="F45" s="34" t="s">
        <v>233</v>
      </c>
      <c r="G45" s="43" t="s">
        <v>107</v>
      </c>
      <c r="H45" s="43" t="s">
        <v>234</v>
      </c>
      <c r="I45" s="43" t="s">
        <v>235</v>
      </c>
      <c r="J45" s="43"/>
      <c r="K45" s="43"/>
      <c r="L45" s="35" t="s">
        <v>110</v>
      </c>
      <c r="M45" s="35"/>
      <c r="N45" s="44"/>
    </row>
    <row r="46" spans="1:14" ht="174.5" thickBot="1">
      <c r="A46" s="76">
        <v>37</v>
      </c>
      <c r="B46" s="125"/>
      <c r="C46" s="128"/>
      <c r="D46" s="128"/>
      <c r="E46" s="34" t="s">
        <v>236</v>
      </c>
      <c r="F46" s="34" t="s">
        <v>229</v>
      </c>
      <c r="G46" s="43" t="s">
        <v>107</v>
      </c>
      <c r="H46" s="43" t="s">
        <v>237</v>
      </c>
      <c r="I46" s="43" t="s">
        <v>238</v>
      </c>
      <c r="J46" s="43"/>
      <c r="K46" s="43"/>
      <c r="L46" s="35" t="s">
        <v>110</v>
      </c>
      <c r="M46" s="35"/>
      <c r="N46" s="44"/>
    </row>
    <row r="47" spans="1:14" ht="145.5" thickBot="1">
      <c r="A47" s="76">
        <v>38</v>
      </c>
      <c r="B47" s="125"/>
      <c r="C47" s="128"/>
      <c r="D47" s="128"/>
      <c r="E47" s="43" t="s">
        <v>239</v>
      </c>
      <c r="F47" s="43" t="s">
        <v>240</v>
      </c>
      <c r="G47" s="43" t="s">
        <v>107</v>
      </c>
      <c r="H47" s="43" t="s">
        <v>116</v>
      </c>
      <c r="I47" s="43" t="s">
        <v>241</v>
      </c>
      <c r="J47" s="43"/>
      <c r="K47" s="43"/>
      <c r="L47" s="35" t="s">
        <v>110</v>
      </c>
      <c r="M47" s="35"/>
      <c r="N47" s="44"/>
    </row>
    <row r="48" spans="1:14" ht="131" thickBot="1">
      <c r="A48" s="76">
        <v>39</v>
      </c>
      <c r="B48" s="125"/>
      <c r="C48" s="128"/>
      <c r="D48" s="128"/>
      <c r="E48" s="43" t="s">
        <v>242</v>
      </c>
      <c r="F48" s="43" t="s">
        <v>243</v>
      </c>
      <c r="G48" s="43" t="s">
        <v>176</v>
      </c>
      <c r="H48" s="43" t="s">
        <v>244</v>
      </c>
      <c r="I48" s="43" t="s">
        <v>245</v>
      </c>
      <c r="J48" s="98" t="s">
        <v>246</v>
      </c>
      <c r="K48" s="43"/>
      <c r="L48" s="35" t="s">
        <v>128</v>
      </c>
      <c r="M48" s="45"/>
      <c r="N48" s="44"/>
    </row>
    <row r="49" spans="1:14" ht="15" thickBot="1">
      <c r="A49" s="74"/>
      <c r="B49" s="125"/>
      <c r="C49" s="86"/>
      <c r="D49" s="128"/>
      <c r="E49" s="39"/>
      <c r="F49" s="39"/>
      <c r="G49" s="39"/>
      <c r="H49" s="39"/>
      <c r="I49" s="39"/>
      <c r="J49" s="39"/>
      <c r="K49" s="39"/>
      <c r="L49" s="47"/>
      <c r="M49" s="47"/>
      <c r="N49" s="36"/>
    </row>
    <row r="50" spans="1:14" ht="131" thickBot="1">
      <c r="A50" s="76">
        <v>40</v>
      </c>
      <c r="B50" s="125"/>
      <c r="C50" s="128" t="s">
        <v>247</v>
      </c>
      <c r="D50" s="128"/>
      <c r="E50" s="43" t="s">
        <v>248</v>
      </c>
      <c r="F50" s="43" t="s">
        <v>249</v>
      </c>
      <c r="G50" s="43" t="s">
        <v>250</v>
      </c>
      <c r="H50" s="96" t="s">
        <v>204</v>
      </c>
      <c r="I50" s="43" t="s">
        <v>251</v>
      </c>
      <c r="J50" s="43"/>
      <c r="K50" s="43"/>
      <c r="L50" s="35" t="s">
        <v>110</v>
      </c>
      <c r="M50" s="35"/>
      <c r="N50" s="44"/>
    </row>
    <row r="51" spans="1:14" ht="116.5" thickBot="1">
      <c r="A51" s="76">
        <v>41</v>
      </c>
      <c r="B51" s="125"/>
      <c r="C51" s="128"/>
      <c r="D51" s="128"/>
      <c r="E51" s="34" t="s">
        <v>252</v>
      </c>
      <c r="F51" s="43" t="s">
        <v>253</v>
      </c>
      <c r="G51" s="43" t="s">
        <v>250</v>
      </c>
      <c r="H51" s="43" t="s">
        <v>254</v>
      </c>
      <c r="I51" s="43" t="s">
        <v>255</v>
      </c>
      <c r="J51" s="43"/>
      <c r="K51" s="43"/>
      <c r="L51" s="35" t="s">
        <v>110</v>
      </c>
      <c r="M51" s="35"/>
      <c r="N51" s="44"/>
    </row>
    <row r="52" spans="1:14" ht="145.5" thickBot="1">
      <c r="A52" s="76">
        <v>42</v>
      </c>
      <c r="B52" s="125"/>
      <c r="C52" s="128"/>
      <c r="D52" s="128"/>
      <c r="E52" s="34" t="s">
        <v>256</v>
      </c>
      <c r="F52" s="43" t="s">
        <v>257</v>
      </c>
      <c r="G52" s="43" t="s">
        <v>250</v>
      </c>
      <c r="H52" s="43" t="s">
        <v>116</v>
      </c>
      <c r="I52" s="43" t="s">
        <v>258</v>
      </c>
      <c r="J52" s="43"/>
      <c r="K52" s="43"/>
      <c r="L52" s="35" t="s">
        <v>110</v>
      </c>
      <c r="M52" s="35"/>
      <c r="N52" s="44"/>
    </row>
    <row r="53" spans="1:14" ht="116.5" thickBot="1">
      <c r="A53" s="76">
        <v>43</v>
      </c>
      <c r="B53" s="125"/>
      <c r="C53" s="128"/>
      <c r="D53" s="128"/>
      <c r="E53" s="34" t="s">
        <v>259</v>
      </c>
      <c r="F53" s="43" t="s">
        <v>260</v>
      </c>
      <c r="G53" s="43" t="s">
        <v>250</v>
      </c>
      <c r="H53" s="43" t="s">
        <v>261</v>
      </c>
      <c r="I53" s="43" t="s">
        <v>262</v>
      </c>
      <c r="J53" s="43"/>
      <c r="K53" s="43"/>
      <c r="L53" s="35" t="s">
        <v>110</v>
      </c>
      <c r="M53" s="35"/>
      <c r="N53" s="44"/>
    </row>
    <row r="54" spans="1:14" ht="15" thickBot="1">
      <c r="A54" s="76"/>
      <c r="B54" s="125"/>
      <c r="C54" s="99"/>
      <c r="D54" s="100"/>
      <c r="E54" s="101"/>
      <c r="F54" s="100"/>
      <c r="G54" s="100"/>
      <c r="H54" s="100"/>
      <c r="I54" s="100"/>
      <c r="J54" s="100"/>
      <c r="K54" s="100"/>
      <c r="L54" s="48"/>
      <c r="M54" s="49"/>
      <c r="N54" s="44"/>
    </row>
    <row r="55" spans="1:14" ht="73" thickBot="1">
      <c r="A55" s="77">
        <v>44</v>
      </c>
      <c r="B55" s="125"/>
      <c r="C55" s="129" t="s">
        <v>263</v>
      </c>
      <c r="D55" s="132" t="s">
        <v>264</v>
      </c>
      <c r="E55" s="102" t="s">
        <v>265</v>
      </c>
      <c r="F55" s="102" t="s">
        <v>266</v>
      </c>
      <c r="G55" s="102" t="s">
        <v>107</v>
      </c>
      <c r="H55" s="102" t="s">
        <v>116</v>
      </c>
      <c r="I55" s="102" t="s">
        <v>297</v>
      </c>
      <c r="J55" s="103"/>
      <c r="K55" s="103"/>
      <c r="L55" s="69" t="s">
        <v>110</v>
      </c>
      <c r="M55" s="50"/>
      <c r="N55" s="51"/>
    </row>
    <row r="56" spans="1:14" ht="116.5" thickBot="1">
      <c r="A56" s="77">
        <v>45</v>
      </c>
      <c r="B56" s="125"/>
      <c r="C56" s="130"/>
      <c r="D56" s="133"/>
      <c r="E56" s="102" t="s">
        <v>267</v>
      </c>
      <c r="F56" s="102" t="s">
        <v>268</v>
      </c>
      <c r="G56" s="102" t="s">
        <v>107</v>
      </c>
      <c r="H56" s="102" t="s">
        <v>116</v>
      </c>
      <c r="I56" s="102" t="s">
        <v>269</v>
      </c>
      <c r="J56" s="103"/>
      <c r="K56" s="103"/>
      <c r="L56" s="69" t="s">
        <v>110</v>
      </c>
      <c r="M56" s="50"/>
      <c r="N56" s="51"/>
    </row>
    <row r="57" spans="1:14" ht="102" thickBot="1">
      <c r="A57" s="77">
        <v>46</v>
      </c>
      <c r="B57" s="125"/>
      <c r="C57" s="130"/>
      <c r="D57" s="133"/>
      <c r="E57" s="102" t="s">
        <v>270</v>
      </c>
      <c r="F57" s="102" t="s">
        <v>271</v>
      </c>
      <c r="G57" s="102" t="s">
        <v>107</v>
      </c>
      <c r="H57" s="102" t="s">
        <v>116</v>
      </c>
      <c r="I57" s="102" t="s">
        <v>272</v>
      </c>
      <c r="J57" s="103"/>
      <c r="K57" s="103"/>
      <c r="L57" s="69" t="s">
        <v>110</v>
      </c>
      <c r="M57" s="50"/>
      <c r="N57" s="51"/>
    </row>
    <row r="58" spans="1:14" ht="116.5" thickBot="1">
      <c r="A58" s="77">
        <v>47</v>
      </c>
      <c r="B58" s="125"/>
      <c r="C58" s="130"/>
      <c r="D58" s="133"/>
      <c r="E58" s="102" t="s">
        <v>140</v>
      </c>
      <c r="F58" s="102" t="s">
        <v>273</v>
      </c>
      <c r="G58" s="102" t="s">
        <v>126</v>
      </c>
      <c r="H58" s="102" t="s">
        <v>116</v>
      </c>
      <c r="I58" s="102" t="s">
        <v>274</v>
      </c>
      <c r="J58" s="98" t="s">
        <v>275</v>
      </c>
      <c r="K58" s="103"/>
      <c r="L58" s="70" t="s">
        <v>128</v>
      </c>
      <c r="M58" s="50"/>
      <c r="N58" s="51"/>
    </row>
    <row r="59" spans="1:14" ht="116.5" thickBot="1">
      <c r="A59" s="78">
        <v>48</v>
      </c>
      <c r="B59" s="125"/>
      <c r="C59" s="130"/>
      <c r="D59" s="133"/>
      <c r="E59" s="104" t="s">
        <v>276</v>
      </c>
      <c r="F59" s="105" t="s">
        <v>277</v>
      </c>
      <c r="G59" s="106" t="s">
        <v>107</v>
      </c>
      <c r="H59" s="106" t="s">
        <v>116</v>
      </c>
      <c r="I59" s="102" t="s">
        <v>278</v>
      </c>
      <c r="J59" s="105"/>
      <c r="K59" s="105"/>
      <c r="L59" s="52" t="s">
        <v>110</v>
      </c>
      <c r="M59" s="53"/>
      <c r="N59" s="54"/>
    </row>
    <row r="60" spans="1:14" ht="102" thickBot="1">
      <c r="A60" s="78">
        <v>49</v>
      </c>
      <c r="B60" s="125"/>
      <c r="C60" s="130"/>
      <c r="D60" s="133"/>
      <c r="E60" s="102" t="s">
        <v>279</v>
      </c>
      <c r="F60" s="105" t="s">
        <v>280</v>
      </c>
      <c r="G60" s="106" t="s">
        <v>107</v>
      </c>
      <c r="H60" s="106" t="s">
        <v>116</v>
      </c>
      <c r="I60" s="102" t="s">
        <v>281</v>
      </c>
      <c r="J60" s="105"/>
      <c r="K60" s="105"/>
      <c r="L60" s="52" t="s">
        <v>110</v>
      </c>
      <c r="M60" s="53"/>
      <c r="N60" s="54"/>
    </row>
    <row r="61" spans="1:14" ht="102" thickBot="1">
      <c r="A61" s="78">
        <v>50</v>
      </c>
      <c r="B61" s="125"/>
      <c r="C61" s="130"/>
      <c r="D61" s="133"/>
      <c r="E61" s="102" t="s">
        <v>282</v>
      </c>
      <c r="F61" s="105" t="s">
        <v>283</v>
      </c>
      <c r="G61" s="106" t="s">
        <v>107</v>
      </c>
      <c r="H61" s="106" t="s">
        <v>116</v>
      </c>
      <c r="I61" s="102" t="s">
        <v>284</v>
      </c>
      <c r="J61" s="105"/>
      <c r="K61" s="105"/>
      <c r="L61" s="52" t="s">
        <v>110</v>
      </c>
      <c r="M61" s="53"/>
      <c r="N61" s="54"/>
    </row>
    <row r="62" spans="1:14" ht="102" thickBot="1">
      <c r="A62" s="78">
        <v>51</v>
      </c>
      <c r="B62" s="125"/>
      <c r="C62" s="130"/>
      <c r="D62" s="133"/>
      <c r="E62" s="102" t="s">
        <v>285</v>
      </c>
      <c r="F62" s="105" t="s">
        <v>286</v>
      </c>
      <c r="G62" s="106" t="s">
        <v>126</v>
      </c>
      <c r="H62" s="106" t="s">
        <v>116</v>
      </c>
      <c r="I62" s="102" t="s">
        <v>287</v>
      </c>
      <c r="J62" s="89" t="s">
        <v>288</v>
      </c>
      <c r="K62" s="105"/>
      <c r="L62" s="55" t="s">
        <v>128</v>
      </c>
      <c r="M62" s="53"/>
      <c r="N62" s="54"/>
    </row>
    <row r="63" spans="1:14" ht="131" thickBot="1">
      <c r="A63" s="79">
        <v>52</v>
      </c>
      <c r="B63" s="125"/>
      <c r="C63" s="130"/>
      <c r="D63" s="133"/>
      <c r="E63" s="102" t="s">
        <v>289</v>
      </c>
      <c r="F63" s="102" t="s">
        <v>157</v>
      </c>
      <c r="G63" s="102" t="s">
        <v>107</v>
      </c>
      <c r="H63" s="102" t="s">
        <v>116</v>
      </c>
      <c r="I63" s="102" t="s">
        <v>290</v>
      </c>
      <c r="J63" s="102"/>
      <c r="K63" s="102"/>
      <c r="L63" s="71" t="s">
        <v>110</v>
      </c>
      <c r="M63" s="72"/>
      <c r="N63" s="73"/>
    </row>
    <row r="64" spans="1:14" ht="87.5" thickBot="1">
      <c r="A64" s="79">
        <v>53</v>
      </c>
      <c r="B64" s="125"/>
      <c r="C64" s="130"/>
      <c r="D64" s="133"/>
      <c r="E64" s="102" t="s">
        <v>291</v>
      </c>
      <c r="F64" s="107" t="s">
        <v>292</v>
      </c>
      <c r="G64" s="102" t="s">
        <v>107</v>
      </c>
      <c r="H64" s="102" t="s">
        <v>116</v>
      </c>
      <c r="I64" s="102" t="s">
        <v>293</v>
      </c>
      <c r="J64" s="102"/>
      <c r="K64" s="102"/>
      <c r="L64" s="71" t="s">
        <v>110</v>
      </c>
      <c r="M64" s="72"/>
      <c r="N64" s="73"/>
    </row>
    <row r="65" spans="1:14" ht="73" thickBot="1">
      <c r="A65" s="79">
        <v>54</v>
      </c>
      <c r="B65" s="125"/>
      <c r="C65" s="130"/>
      <c r="D65" s="133"/>
      <c r="E65" s="102" t="s">
        <v>294</v>
      </c>
      <c r="F65" s="107" t="s">
        <v>295</v>
      </c>
      <c r="G65" s="102" t="s">
        <v>296</v>
      </c>
      <c r="H65" s="102" t="s">
        <v>116</v>
      </c>
      <c r="I65" s="102" t="s">
        <v>297</v>
      </c>
      <c r="J65" s="102"/>
      <c r="K65" s="102"/>
      <c r="L65" s="71" t="s">
        <v>110</v>
      </c>
      <c r="M65" s="72"/>
      <c r="N65" s="73"/>
    </row>
    <row r="66" spans="1:14" ht="73" thickBot="1">
      <c r="A66" s="79">
        <v>55</v>
      </c>
      <c r="B66" s="125"/>
      <c r="C66" s="130"/>
      <c r="D66" s="133"/>
      <c r="E66" s="102" t="s">
        <v>298</v>
      </c>
      <c r="F66" s="107" t="s">
        <v>299</v>
      </c>
      <c r="G66" s="102" t="s">
        <v>107</v>
      </c>
      <c r="H66" s="102" t="s">
        <v>116</v>
      </c>
      <c r="I66" s="102" t="s">
        <v>297</v>
      </c>
      <c r="J66" s="102"/>
      <c r="K66" s="102"/>
      <c r="L66" s="71" t="s">
        <v>110</v>
      </c>
      <c r="M66" s="72"/>
      <c r="N66" s="73"/>
    </row>
    <row r="67" spans="1:14" ht="73" thickBot="1">
      <c r="A67" s="79">
        <v>56</v>
      </c>
      <c r="B67" s="125"/>
      <c r="C67" s="131"/>
      <c r="D67" s="133"/>
      <c r="E67" s="102" t="s">
        <v>300</v>
      </c>
      <c r="F67" s="107" t="s">
        <v>301</v>
      </c>
      <c r="G67" s="102" t="s">
        <v>107</v>
      </c>
      <c r="H67" s="102" t="s">
        <v>116</v>
      </c>
      <c r="I67" s="102" t="s">
        <v>297</v>
      </c>
      <c r="J67" s="102"/>
      <c r="K67" s="102"/>
      <c r="L67" s="71" t="s">
        <v>110</v>
      </c>
      <c r="M67" s="72"/>
      <c r="N67" s="73"/>
    </row>
    <row r="68" spans="1:14" ht="15" thickBot="1">
      <c r="A68" s="76"/>
      <c r="B68" s="125"/>
      <c r="C68" s="99"/>
      <c r="D68" s="133"/>
      <c r="E68" s="101"/>
      <c r="F68" s="100"/>
      <c r="G68" s="100"/>
      <c r="H68" s="100"/>
      <c r="I68" s="100"/>
      <c r="J68" s="100"/>
      <c r="K68" s="100"/>
      <c r="L68" s="48"/>
      <c r="M68" s="49"/>
      <c r="N68" s="44"/>
    </row>
    <row r="69" spans="1:14" ht="116.5" thickBot="1">
      <c r="A69" s="76">
        <v>57</v>
      </c>
      <c r="B69" s="125"/>
      <c r="C69" s="134" t="s">
        <v>162</v>
      </c>
      <c r="D69" s="133"/>
      <c r="E69" s="43" t="s">
        <v>302</v>
      </c>
      <c r="F69" s="43" t="s">
        <v>303</v>
      </c>
      <c r="G69" s="43" t="s">
        <v>107</v>
      </c>
      <c r="H69" s="43"/>
      <c r="I69" s="43" t="s">
        <v>304</v>
      </c>
      <c r="J69" s="43"/>
      <c r="K69" s="43"/>
      <c r="L69" s="35" t="s">
        <v>110</v>
      </c>
      <c r="M69" s="35"/>
      <c r="N69" s="44"/>
    </row>
    <row r="70" spans="1:14" ht="131" thickBot="1">
      <c r="A70" s="76">
        <v>58</v>
      </c>
      <c r="B70" s="125"/>
      <c r="C70" s="135"/>
      <c r="D70" s="133"/>
      <c r="E70" s="43" t="s">
        <v>305</v>
      </c>
      <c r="F70" s="43" t="s">
        <v>306</v>
      </c>
      <c r="G70" s="43" t="s">
        <v>107</v>
      </c>
      <c r="H70" s="92" t="s">
        <v>307</v>
      </c>
      <c r="I70" s="43" t="s">
        <v>308</v>
      </c>
      <c r="J70" s="43"/>
      <c r="K70" s="43"/>
      <c r="L70" s="35" t="s">
        <v>110</v>
      </c>
      <c r="M70" s="35"/>
      <c r="N70" s="44"/>
    </row>
    <row r="71" spans="1:14" ht="145.5" thickBot="1">
      <c r="A71" s="76">
        <v>59</v>
      </c>
      <c r="B71" s="125"/>
      <c r="C71" s="135"/>
      <c r="D71" s="133"/>
      <c r="E71" s="43" t="s">
        <v>309</v>
      </c>
      <c r="F71" s="43" t="s">
        <v>225</v>
      </c>
      <c r="G71" s="43" t="s">
        <v>107</v>
      </c>
      <c r="H71" s="108" t="s">
        <v>310</v>
      </c>
      <c r="I71" s="43" t="s">
        <v>311</v>
      </c>
      <c r="J71" s="43"/>
      <c r="K71" s="46"/>
      <c r="L71" s="35" t="s">
        <v>110</v>
      </c>
      <c r="M71" s="45"/>
      <c r="N71" s="44"/>
    </row>
    <row r="72" spans="1:14" ht="145.5" thickBot="1">
      <c r="A72" s="76">
        <v>60</v>
      </c>
      <c r="B72" s="125"/>
      <c r="C72" s="135"/>
      <c r="D72" s="133"/>
      <c r="E72" s="43" t="s">
        <v>312</v>
      </c>
      <c r="F72" s="43" t="s">
        <v>303</v>
      </c>
      <c r="G72" s="43" t="s">
        <v>107</v>
      </c>
      <c r="H72" s="96" t="s">
        <v>313</v>
      </c>
      <c r="I72" s="43" t="s">
        <v>314</v>
      </c>
      <c r="J72" s="43"/>
      <c r="K72" s="43"/>
      <c r="L72" s="35" t="s">
        <v>110</v>
      </c>
      <c r="M72" s="45"/>
      <c r="N72" s="44"/>
    </row>
    <row r="73" spans="1:14" ht="145.5" thickBot="1">
      <c r="A73" s="76">
        <v>61</v>
      </c>
      <c r="B73" s="125"/>
      <c r="C73" s="135"/>
      <c r="D73" s="133"/>
      <c r="E73" s="43" t="s">
        <v>315</v>
      </c>
      <c r="F73" s="43" t="s">
        <v>181</v>
      </c>
      <c r="G73" s="43" t="s">
        <v>107</v>
      </c>
      <c r="H73" s="92" t="s">
        <v>316</v>
      </c>
      <c r="I73" s="43" t="s">
        <v>317</v>
      </c>
      <c r="J73" s="43"/>
      <c r="K73" s="43"/>
      <c r="L73" s="35" t="s">
        <v>110</v>
      </c>
      <c r="M73" s="45"/>
      <c r="N73" s="44"/>
    </row>
    <row r="74" spans="1:14" ht="131" thickBot="1">
      <c r="A74" s="76">
        <v>62</v>
      </c>
      <c r="B74" s="125"/>
      <c r="C74" s="135"/>
      <c r="D74" s="133"/>
      <c r="E74" s="43" t="s">
        <v>318</v>
      </c>
      <c r="F74" s="43" t="s">
        <v>319</v>
      </c>
      <c r="G74" s="43" t="s">
        <v>107</v>
      </c>
      <c r="H74" s="92" t="s">
        <v>116</v>
      </c>
      <c r="I74" s="43" t="s">
        <v>320</v>
      </c>
      <c r="J74" s="43"/>
      <c r="K74" s="43"/>
      <c r="L74" s="35" t="s">
        <v>110</v>
      </c>
      <c r="M74" s="45"/>
      <c r="N74" s="44"/>
    </row>
    <row r="75" spans="1:14" ht="145.5" thickBot="1">
      <c r="A75" s="76">
        <v>63</v>
      </c>
      <c r="B75" s="125"/>
      <c r="C75" s="135"/>
      <c r="D75" s="133"/>
      <c r="E75" s="43" t="s">
        <v>321</v>
      </c>
      <c r="F75" s="43" t="s">
        <v>322</v>
      </c>
      <c r="G75" s="43" t="s">
        <v>126</v>
      </c>
      <c r="H75" s="43" t="s">
        <v>116</v>
      </c>
      <c r="I75" s="43" t="s">
        <v>323</v>
      </c>
      <c r="J75" s="43"/>
      <c r="K75" s="43"/>
      <c r="L75" s="35" t="s">
        <v>128</v>
      </c>
      <c r="M75" s="45"/>
      <c r="N75" s="44"/>
    </row>
    <row r="76" spans="1:14" ht="131" thickBot="1">
      <c r="A76" s="76">
        <v>64</v>
      </c>
      <c r="B76" s="125"/>
      <c r="C76" s="135"/>
      <c r="D76" s="133"/>
      <c r="E76" s="43" t="s">
        <v>324</v>
      </c>
      <c r="F76" s="43" t="s">
        <v>325</v>
      </c>
      <c r="G76" s="43" t="s">
        <v>126</v>
      </c>
      <c r="H76" s="43" t="s">
        <v>116</v>
      </c>
      <c r="I76" s="43" t="s">
        <v>326</v>
      </c>
      <c r="J76" s="98" t="s">
        <v>327</v>
      </c>
      <c r="K76" s="43"/>
      <c r="L76" s="35" t="s">
        <v>128</v>
      </c>
      <c r="M76" s="45"/>
      <c r="N76" s="44"/>
    </row>
    <row r="77" spans="1:14" ht="116.5" thickBot="1">
      <c r="A77" s="76">
        <v>65</v>
      </c>
      <c r="B77" s="125"/>
      <c r="C77" s="135"/>
      <c r="D77" s="133"/>
      <c r="E77" s="43" t="s">
        <v>328</v>
      </c>
      <c r="F77" s="43" t="s">
        <v>329</v>
      </c>
      <c r="G77" s="43" t="s">
        <v>107</v>
      </c>
      <c r="H77" s="43" t="s">
        <v>116</v>
      </c>
      <c r="I77" s="43" t="s">
        <v>330</v>
      </c>
      <c r="J77" s="43"/>
      <c r="K77" s="43"/>
      <c r="L77" s="35" t="s">
        <v>110</v>
      </c>
      <c r="M77" s="45"/>
      <c r="N77" s="44"/>
    </row>
    <row r="78" spans="1:14" ht="116.5" thickBot="1">
      <c r="A78" s="76">
        <v>66</v>
      </c>
      <c r="B78" s="125"/>
      <c r="C78" s="136"/>
      <c r="D78" s="87"/>
      <c r="E78" s="43" t="s">
        <v>331</v>
      </c>
      <c r="F78" s="43" t="s">
        <v>332</v>
      </c>
      <c r="G78" s="43" t="s">
        <v>296</v>
      </c>
      <c r="H78" s="43" t="s">
        <v>116</v>
      </c>
      <c r="I78" s="43" t="s">
        <v>333</v>
      </c>
      <c r="J78" s="43"/>
      <c r="K78" s="43"/>
      <c r="L78" s="35" t="s">
        <v>110</v>
      </c>
      <c r="M78" s="45"/>
      <c r="N78" s="44"/>
    </row>
    <row r="79" spans="1:14" ht="15" thickBot="1">
      <c r="A79" s="74"/>
      <c r="B79" s="125"/>
      <c r="C79" s="109"/>
      <c r="D79" s="109"/>
      <c r="E79" s="110"/>
      <c r="F79" s="39"/>
      <c r="G79" s="39"/>
      <c r="H79" s="39"/>
      <c r="I79" s="39"/>
      <c r="J79" s="39"/>
      <c r="K79" s="39"/>
      <c r="L79" s="47"/>
      <c r="M79" s="56"/>
      <c r="N79" s="36"/>
    </row>
    <row r="80" spans="1:14" ht="29.5" thickBot="1">
      <c r="A80" s="76">
        <v>57</v>
      </c>
      <c r="B80" s="125"/>
      <c r="C80" s="137"/>
      <c r="D80" s="128" t="s">
        <v>334</v>
      </c>
      <c r="E80" s="43" t="s">
        <v>335</v>
      </c>
      <c r="F80" s="43"/>
      <c r="G80" s="43"/>
      <c r="H80" s="43"/>
      <c r="I80" s="43"/>
      <c r="J80" s="43"/>
      <c r="K80" s="43"/>
      <c r="L80" s="35"/>
      <c r="M80" s="45"/>
      <c r="N80" s="44"/>
    </row>
    <row r="81" spans="1:14" ht="29.5" thickBot="1">
      <c r="A81" s="76">
        <v>58</v>
      </c>
      <c r="B81" s="125"/>
      <c r="C81" s="137"/>
      <c r="D81" s="128"/>
      <c r="E81" s="43" t="s">
        <v>336</v>
      </c>
      <c r="F81" s="43"/>
      <c r="G81" s="43"/>
      <c r="H81" s="43"/>
      <c r="I81" s="43"/>
      <c r="J81" s="43"/>
      <c r="K81" s="43"/>
      <c r="L81" s="35"/>
      <c r="M81" s="45"/>
      <c r="N81" s="44"/>
    </row>
    <row r="82" spans="1:14" ht="29.5" thickBot="1">
      <c r="A82" s="76">
        <v>59</v>
      </c>
      <c r="B82" s="125"/>
      <c r="C82" s="137"/>
      <c r="D82" s="128"/>
      <c r="E82" s="43" t="s">
        <v>337</v>
      </c>
      <c r="F82" s="75"/>
      <c r="G82" s="43"/>
      <c r="H82" s="43"/>
      <c r="I82" s="43"/>
      <c r="J82" s="43"/>
      <c r="K82" s="46"/>
      <c r="L82" s="35"/>
      <c r="M82" s="35"/>
      <c r="N82" s="44"/>
    </row>
    <row r="83" spans="1:14" ht="15" thickBot="1">
      <c r="A83" s="80"/>
      <c r="B83" s="125"/>
      <c r="C83" s="111"/>
      <c r="D83" s="111"/>
      <c r="E83" s="112"/>
      <c r="F83" s="75"/>
      <c r="G83" s="43"/>
      <c r="H83" s="43"/>
      <c r="I83" s="43"/>
      <c r="J83" s="43"/>
      <c r="K83" s="43"/>
      <c r="L83" s="35"/>
      <c r="M83" s="35"/>
      <c r="N83" s="44"/>
    </row>
    <row r="84" spans="1:14" ht="15.5" customHeight="1" thickBot="1">
      <c r="A84" s="80"/>
      <c r="B84" s="126"/>
      <c r="C84" s="111"/>
      <c r="D84" s="111"/>
      <c r="E84" s="112"/>
      <c r="F84" s="43"/>
      <c r="G84" s="43"/>
      <c r="H84" s="43"/>
      <c r="I84" s="43"/>
      <c r="J84" s="43"/>
      <c r="K84" s="46"/>
      <c r="L84" s="35"/>
      <c r="M84" s="45"/>
      <c r="N84" s="44"/>
    </row>
  </sheetData>
  <mergeCells count="17">
    <mergeCell ref="A5:B5"/>
    <mergeCell ref="C5:G5"/>
    <mergeCell ref="A1:B1"/>
    <mergeCell ref="L1:M1"/>
    <mergeCell ref="A2:B2"/>
    <mergeCell ref="A3:B3"/>
    <mergeCell ref="A4:B4"/>
    <mergeCell ref="B10:B84"/>
    <mergeCell ref="C10:C24"/>
    <mergeCell ref="D10:D53"/>
    <mergeCell ref="C26:C48"/>
    <mergeCell ref="C50:C53"/>
    <mergeCell ref="C55:C67"/>
    <mergeCell ref="D55:D77"/>
    <mergeCell ref="C69:C78"/>
    <mergeCell ref="C80:C82"/>
    <mergeCell ref="D80:D82"/>
  </mergeCells>
  <conditionalFormatting sqref="L8">
    <cfRule type="cellIs" dxfId="7" priority="5" operator="equal">
      <formula>"Passed"</formula>
    </cfRule>
    <cfRule type="cellIs" dxfId="6" priority="6" operator="equal">
      <formula>"Failed"</formula>
    </cfRule>
    <cfRule type="cellIs" dxfId="5" priority="7" operator="equal">
      <formula>"Not Executed"</formula>
    </cfRule>
    <cfRule type="cellIs" dxfId="4" priority="8" operator="equal">
      <formula>"Out of Scope"</formula>
    </cfRule>
  </conditionalFormatting>
  <conditionalFormatting sqref="L10:L53 L69:L84">
    <cfRule type="cellIs" dxfId="3" priority="1" operator="equal">
      <formula>"Passed"</formula>
    </cfRule>
    <cfRule type="cellIs" dxfId="2" priority="2" operator="equal">
      <formula>"Failed"</formula>
    </cfRule>
    <cfRule type="cellIs" dxfId="1" priority="3" operator="equal">
      <formula>"Not Executed"</formula>
    </cfRule>
    <cfRule type="cellIs" dxfId="0" priority="4" operator="equal">
      <formula>"Out of Scope"</formula>
    </cfRule>
  </conditionalFormatting>
  <dataValidations count="1">
    <dataValidation type="list" allowBlank="1" sqref="L8 L10:L53 L69:L84" xr:uid="{16F8ACDA-ABB3-49BC-A3B7-252ECF16CC72}">
      <formula1>"Passed,Failed,Not Executed,Out of Scope"</formula1>
      <formula2>0</formula2>
    </dataValidation>
  </dataValidations>
  <hyperlinks>
    <hyperlink ref="J31" r:id="rId1" display="https://drive.google.com/file/d/1MkOtnp9FTWW6kbr4UQwBKhfVRaJdHxpV/view?usp=drive_link" xr:uid="{8BB23917-EB2F-442A-95E4-853DBE0774AE}"/>
    <hyperlink ref="J32" r:id="rId2" xr:uid="{15291595-2FBC-49DF-A28A-5145E3A9BC62}"/>
    <hyperlink ref="J33" r:id="rId3" display="https://drive.google.com/file/d/19wIqSKjaVnzRDo6_pGEcwnXKAGEJZ9BH/view?usp=drive_link" xr:uid="{2EEFF0EA-2F80-4644-8AA9-9154F287FF9C}"/>
    <hyperlink ref="J36" r:id="rId4" display="https://drive.google.com/file/d/1WEigmeNi_MbXo8B1eW6Ezan8debJ05oY/view?usp=sharing" xr:uid="{A0BE99A3-18CC-4E0F-9283-10BABED2D79E}"/>
    <hyperlink ref="H72" r:id="rId5" display="fgcfh@nndj.com_x000a_hdjui44" xr:uid="{88BF1350-16BC-4332-8F7B-1ABE6E00BFCA}"/>
    <hyperlink ref="C1" r:id="rId6" display="febrilife" xr:uid="{CCF9FB82-B477-4C89-B2AF-4F26715CDB3E}"/>
    <hyperlink ref="J28" r:id="rId7" display="https://drive.google.com/file/d/1Z0hu6XzFevfJuw5WTob6mvhDIMFDSBIW/view?usp=sharing" xr:uid="{0168B0D1-F3D2-4599-958C-93DDE35B1571}"/>
    <hyperlink ref="J29" r:id="rId8" display="https://drive.google.com/file/d/1K9m94DGlndLd_0u6t704cXeiTDAycTJG/view?usp=sharing" xr:uid="{5CC3D463-972B-4F8A-8461-FFD04798B3C0}"/>
    <hyperlink ref="J18" r:id="rId9" xr:uid="{42DC8F51-243C-4B48-AAF7-05583BA72A8F}"/>
    <hyperlink ref="H40" r:id="rId10" display="tamannasana44@gmail.com" xr:uid="{253419F8-4139-4027-B454-BF9EC8E93896}"/>
    <hyperlink ref="H38" r:id="rId11" display="tamannasana44@gmail.com" xr:uid="{EB1165CC-1097-4E8B-960C-C3F6F71A3FE3}"/>
    <hyperlink ref="J58" r:id="rId12" display="https://drive.google.com/file/d/1keJUVQ95ZcUDh5qo-wgnnxdbKCOzVXIY/view?usp=drive_link" xr:uid="{A09E498F-8966-461E-8CF9-2814DF51E775}"/>
    <hyperlink ref="J62" r:id="rId13" display="https://drive.google.com/file/d/1hHHe3P8rZQaVSappgc114yw2QLGrJ8iv/view?usp=drive_link" xr:uid="{8BFD3B4D-AC14-4E3F-A209-91D11F932B12}"/>
    <hyperlink ref="J48" r:id="rId14" display="https://drive.google.com/file/d/1jrFxr0nuNVDGL2Wjbj7KO-nZPB9sM-gL/view?usp=sharing" xr:uid="{DEC0628D-9895-4D38-91A2-54DFFB06E568}"/>
    <hyperlink ref="J76" r:id="rId15" display="https://drive.google.com/file/d/1zID0n261Yba9Ce1cZHRk0fJwGdMRrskC/view?usp=drive_link" xr:uid="{B4C51437-2870-4A34-88A3-6F86FAFF6CDF}"/>
    <hyperlink ref="J13" r:id="rId16" display="hftdy5td" xr:uid="{5D93F770-95DE-4BBA-A197-5F340E237FEA}"/>
  </hyperlinks>
  <pageMargins left="0.7" right="0.7" top="0.75" bottom="0.75" header="0.3" footer="0.3"/>
  <pageSetup orientation="portrait"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48A7-1145-4B37-B6B5-874B53DF76BE}">
  <dimension ref="B4:H63"/>
  <sheetViews>
    <sheetView tabSelected="1" workbookViewId="0">
      <selection activeCell="E15" sqref="E15"/>
    </sheetView>
  </sheetViews>
  <sheetFormatPr defaultRowHeight="14.5"/>
  <cols>
    <col min="1" max="1" width="12.6328125" customWidth="1"/>
    <col min="2" max="2" width="8.7265625" hidden="1" customWidth="1"/>
    <col min="3" max="3" width="21.6328125" customWidth="1"/>
    <col min="4" max="4" width="25.36328125" customWidth="1"/>
    <col min="5" max="5" width="15" customWidth="1"/>
    <col min="6" max="6" width="11.7265625" customWidth="1"/>
    <col min="7" max="7" width="11.36328125" customWidth="1"/>
    <col min="8" max="8" width="18.453125" customWidth="1"/>
  </cols>
  <sheetData>
    <row r="4" spans="3:8" ht="15" thickBot="1"/>
    <row r="5" spans="3:8" ht="31.5" thickBot="1">
      <c r="C5" s="142" t="s">
        <v>340</v>
      </c>
      <c r="D5" s="142"/>
      <c r="E5" s="142"/>
      <c r="F5" s="142"/>
      <c r="G5" s="142"/>
      <c r="H5" s="142"/>
    </row>
    <row r="6" spans="3:8" ht="19" thickBot="1">
      <c r="C6" s="143" t="s">
        <v>341</v>
      </c>
      <c r="D6" s="144" t="s">
        <v>1</v>
      </c>
      <c r="E6" s="144"/>
      <c r="F6" s="144"/>
      <c r="G6" s="144"/>
      <c r="H6" s="144"/>
    </row>
    <row r="7" spans="3:8" ht="19" thickBot="1">
      <c r="C7" s="145" t="s">
        <v>342</v>
      </c>
      <c r="D7" s="144" t="s">
        <v>343</v>
      </c>
      <c r="E7" s="144"/>
      <c r="F7" s="144"/>
      <c r="G7" s="144"/>
      <c r="H7" s="144"/>
    </row>
    <row r="8" spans="3:8" ht="19" thickBot="1">
      <c r="C8" s="143" t="s">
        <v>344</v>
      </c>
      <c r="D8" s="144"/>
      <c r="E8" s="144"/>
      <c r="F8" s="144"/>
      <c r="G8" s="144"/>
      <c r="H8" s="144"/>
    </row>
    <row r="9" spans="3:8" ht="19" thickBot="1">
      <c r="C9" s="143" t="s">
        <v>345</v>
      </c>
      <c r="D9" s="144" t="s">
        <v>66</v>
      </c>
      <c r="E9" s="144"/>
      <c r="F9" s="144"/>
      <c r="G9" s="144"/>
      <c r="H9" s="144"/>
    </row>
    <row r="10" spans="3:8" ht="19" customHeight="1" thickBot="1">
      <c r="C10" s="143" t="s">
        <v>346</v>
      </c>
      <c r="D10" s="144" t="s">
        <v>66</v>
      </c>
      <c r="E10" s="144"/>
      <c r="F10" s="144"/>
      <c r="G10" s="144"/>
      <c r="H10" s="144"/>
    </row>
    <row r="11" spans="3:8" ht="19" thickBot="1">
      <c r="C11" s="143" t="s">
        <v>347</v>
      </c>
      <c r="D11" s="144"/>
      <c r="E11" s="144"/>
      <c r="F11" s="144"/>
      <c r="G11" s="144"/>
      <c r="H11" s="144"/>
    </row>
    <row r="12" spans="3:8" ht="15" thickBot="1">
      <c r="C12" s="146" t="s">
        <v>348</v>
      </c>
      <c r="D12" s="146"/>
      <c r="E12" s="146"/>
      <c r="F12" s="146"/>
      <c r="G12" s="146"/>
      <c r="H12" s="146"/>
    </row>
    <row r="13" spans="3:8" ht="15" thickBot="1">
      <c r="C13" s="146"/>
      <c r="D13" s="146"/>
      <c r="E13" s="146"/>
      <c r="F13" s="146"/>
      <c r="G13" s="146"/>
      <c r="H13" s="146"/>
    </row>
    <row r="14" spans="3:8" ht="46.5">
      <c r="C14" s="147" t="s">
        <v>349</v>
      </c>
      <c r="D14" s="148" t="s">
        <v>78</v>
      </c>
      <c r="E14" s="148" t="s">
        <v>83</v>
      </c>
      <c r="F14" s="148" t="s">
        <v>87</v>
      </c>
      <c r="G14" s="148" t="s">
        <v>350</v>
      </c>
      <c r="H14" s="149" t="s">
        <v>351</v>
      </c>
    </row>
    <row r="15" spans="3:8" ht="26">
      <c r="C15" s="150"/>
      <c r="D15" s="151">
        <f>COUNTIF(Sheet3!L8:L79, "passed")</f>
        <v>53</v>
      </c>
      <c r="E15" s="152">
        <f>COUNTIF(Sheet3!L8:L79, "failed")</f>
        <v>13</v>
      </c>
      <c r="F15" s="153">
        <v>0</v>
      </c>
      <c r="G15" s="154">
        <v>0</v>
      </c>
      <c r="H15" s="155">
        <f>SUM(D15,E15)</f>
        <v>66</v>
      </c>
    </row>
    <row r="16" spans="3:8" ht="29" thickBot="1">
      <c r="C16" s="156" t="s">
        <v>352</v>
      </c>
      <c r="D16" s="157">
        <f>SUM(D15)</f>
        <v>53</v>
      </c>
      <c r="E16" s="158">
        <f>SUM(E15)</f>
        <v>13</v>
      </c>
      <c r="F16" s="157">
        <f>SUM(F15)</f>
        <v>0</v>
      </c>
      <c r="G16" s="157">
        <f>SUM(G15)</f>
        <v>0</v>
      </c>
      <c r="H16" s="159">
        <f>SUM(H15)</f>
        <v>66</v>
      </c>
    </row>
    <row r="17" spans="3:8">
      <c r="C17" s="160"/>
      <c r="D17" s="160"/>
      <c r="E17" s="160"/>
      <c r="F17" s="160"/>
      <c r="G17" s="160"/>
      <c r="H17" s="160"/>
    </row>
    <row r="18" spans="3:8" ht="15" thickBot="1">
      <c r="C18" s="160"/>
      <c r="D18" s="160"/>
      <c r="E18" s="160"/>
      <c r="F18" s="160"/>
      <c r="G18" s="160"/>
      <c r="H18" s="160"/>
    </row>
    <row r="19" spans="3:8" ht="15" thickBot="1">
      <c r="C19" s="161" t="s">
        <v>353</v>
      </c>
      <c r="D19" s="161"/>
      <c r="E19" s="161"/>
      <c r="F19" s="161"/>
      <c r="G19" s="161"/>
      <c r="H19" s="161"/>
    </row>
    <row r="20" spans="3:8" ht="15" thickBot="1">
      <c r="C20" s="162" t="s">
        <v>354</v>
      </c>
      <c r="D20" s="162"/>
      <c r="E20" s="162"/>
      <c r="F20" s="163"/>
      <c r="G20" s="163" t="s">
        <v>355</v>
      </c>
      <c r="H20" s="163" t="s">
        <v>356</v>
      </c>
    </row>
    <row r="21" spans="3:8" ht="15" thickBot="1">
      <c r="C21" s="164" t="s">
        <v>357</v>
      </c>
      <c r="D21" s="164"/>
      <c r="E21" s="164"/>
      <c r="F21" s="165"/>
      <c r="G21" s="165" t="s">
        <v>358</v>
      </c>
      <c r="H21" s="165" t="s">
        <v>358</v>
      </c>
    </row>
    <row r="22" spans="3:8" ht="15" thickBot="1">
      <c r="C22" s="164" t="s">
        <v>359</v>
      </c>
      <c r="D22" s="164"/>
      <c r="E22" s="164"/>
      <c r="F22" s="165"/>
      <c r="G22" s="165" t="s">
        <v>358</v>
      </c>
      <c r="H22" s="165" t="s">
        <v>358</v>
      </c>
    </row>
    <row r="23" spans="3:8" ht="15" thickBot="1"/>
    <row r="24" spans="3:8" ht="15" thickBot="1">
      <c r="C24" s="166"/>
      <c r="D24" s="167" t="s">
        <v>360</v>
      </c>
      <c r="E24" s="168" t="s">
        <v>361</v>
      </c>
      <c r="F24" s="169"/>
      <c r="G24" s="169"/>
      <c r="H24" s="169"/>
    </row>
    <row r="25" spans="3:8" ht="15" thickBot="1">
      <c r="C25" s="166"/>
      <c r="D25" s="166"/>
      <c r="E25" s="169"/>
      <c r="F25" s="169"/>
      <c r="G25" s="169"/>
      <c r="H25" s="169"/>
    </row>
    <row r="26" spans="3:8" ht="15" thickBot="1">
      <c r="C26" s="166"/>
      <c r="D26" s="166"/>
      <c r="E26" s="169"/>
      <c r="F26" s="169"/>
      <c r="G26" s="169"/>
      <c r="H26" s="169"/>
    </row>
    <row r="27" spans="3:8" ht="15" thickBot="1">
      <c r="C27" s="166"/>
      <c r="D27" s="166"/>
      <c r="E27" s="169"/>
      <c r="F27" s="169"/>
      <c r="G27" s="169"/>
      <c r="H27" s="169"/>
    </row>
    <row r="28" spans="3:8" ht="15" thickBot="1">
      <c r="C28" s="170" t="s">
        <v>362</v>
      </c>
      <c r="D28" s="171" t="s">
        <v>162</v>
      </c>
      <c r="E28" s="172" t="s">
        <v>363</v>
      </c>
      <c r="F28" s="172"/>
      <c r="G28" s="172"/>
      <c r="H28" s="172"/>
    </row>
    <row r="29" spans="3:8" ht="15" thickBot="1">
      <c r="C29" s="170"/>
      <c r="D29" s="173"/>
      <c r="E29" s="172"/>
      <c r="F29" s="172"/>
      <c r="G29" s="172"/>
      <c r="H29" s="172"/>
    </row>
    <row r="30" spans="3:8" ht="15" thickBot="1">
      <c r="C30" s="170"/>
      <c r="D30" s="173"/>
      <c r="E30" s="172"/>
      <c r="F30" s="172"/>
      <c r="G30" s="172"/>
      <c r="H30" s="172"/>
    </row>
    <row r="31" spans="3:8" ht="15" thickBot="1">
      <c r="C31" s="170"/>
      <c r="D31" s="173"/>
      <c r="E31" s="172"/>
      <c r="F31" s="172"/>
      <c r="G31" s="172"/>
      <c r="H31" s="172"/>
    </row>
    <row r="32" spans="3:8" ht="15" thickBot="1">
      <c r="C32" s="170" t="s">
        <v>362</v>
      </c>
      <c r="D32" s="171" t="s">
        <v>364</v>
      </c>
      <c r="E32" s="172" t="s">
        <v>365</v>
      </c>
      <c r="F32" s="172"/>
      <c r="G32" s="172"/>
      <c r="H32" s="172"/>
    </row>
    <row r="33" spans="3:8" ht="15" thickBot="1">
      <c r="C33" s="170"/>
      <c r="D33" s="173"/>
      <c r="E33" s="172"/>
      <c r="F33" s="172"/>
      <c r="G33" s="172"/>
      <c r="H33" s="172"/>
    </row>
    <row r="34" spans="3:8" ht="15" thickBot="1">
      <c r="C34" s="170"/>
      <c r="D34" s="173"/>
      <c r="E34" s="172"/>
      <c r="F34" s="172"/>
      <c r="G34" s="172"/>
      <c r="H34" s="172"/>
    </row>
    <row r="35" spans="3:8" ht="15" thickBot="1">
      <c r="C35" s="170"/>
      <c r="D35" s="173"/>
      <c r="E35" s="172"/>
      <c r="F35" s="172"/>
      <c r="G35" s="172"/>
      <c r="H35" s="172"/>
    </row>
    <row r="36" spans="3:8" ht="15" thickBot="1">
      <c r="C36" s="170" t="s">
        <v>362</v>
      </c>
      <c r="D36" s="171" t="s">
        <v>366</v>
      </c>
      <c r="E36" s="172" t="s">
        <v>367</v>
      </c>
      <c r="F36" s="172"/>
      <c r="G36" s="172"/>
      <c r="H36" s="172"/>
    </row>
    <row r="37" spans="3:8" ht="15" thickBot="1">
      <c r="C37" s="170"/>
      <c r="D37" s="173"/>
      <c r="E37" s="172"/>
      <c r="F37" s="172"/>
      <c r="G37" s="172"/>
      <c r="H37" s="172"/>
    </row>
    <row r="38" spans="3:8" ht="15" thickBot="1">
      <c r="C38" s="170"/>
      <c r="D38" s="173"/>
      <c r="E38" s="172"/>
      <c r="F38" s="172"/>
      <c r="G38" s="172"/>
      <c r="H38" s="172"/>
    </row>
    <row r="39" spans="3:8" ht="15" thickBot="1">
      <c r="C39" s="170"/>
      <c r="D39" s="173"/>
      <c r="E39" s="172"/>
      <c r="F39" s="172"/>
      <c r="G39" s="172"/>
      <c r="H39" s="172"/>
    </row>
    <row r="40" spans="3:8" ht="15" thickBot="1">
      <c r="C40" s="170" t="s">
        <v>362</v>
      </c>
      <c r="D40" s="171" t="s">
        <v>247</v>
      </c>
      <c r="E40" s="172" t="s">
        <v>368</v>
      </c>
      <c r="F40" s="172"/>
      <c r="G40" s="172"/>
      <c r="H40" s="172"/>
    </row>
    <row r="41" spans="3:8" ht="15" thickBot="1">
      <c r="C41" s="170"/>
      <c r="D41" s="173"/>
      <c r="E41" s="172"/>
      <c r="F41" s="172"/>
      <c r="G41" s="172"/>
      <c r="H41" s="172"/>
    </row>
    <row r="42" spans="3:8" ht="15" thickBot="1">
      <c r="C42" s="170"/>
      <c r="D42" s="173"/>
      <c r="E42" s="172"/>
      <c r="F42" s="172"/>
      <c r="G42" s="172"/>
      <c r="H42" s="172"/>
    </row>
    <row r="43" spans="3:8" ht="15" thickBot="1">
      <c r="C43" s="170"/>
      <c r="D43" s="173"/>
      <c r="E43" s="172"/>
      <c r="F43" s="172"/>
      <c r="G43" s="172"/>
      <c r="H43" s="172"/>
    </row>
    <row r="44" spans="3:8">
      <c r="C44" s="174" t="s">
        <v>362</v>
      </c>
      <c r="D44" s="175" t="s">
        <v>369</v>
      </c>
      <c r="E44" s="176" t="s">
        <v>370</v>
      </c>
      <c r="F44" s="177"/>
      <c r="G44" s="177"/>
      <c r="H44" s="178"/>
    </row>
    <row r="45" spans="3:8">
      <c r="C45" s="179"/>
      <c r="D45" s="180"/>
      <c r="E45" s="181"/>
      <c r="F45" s="182"/>
      <c r="G45" s="182"/>
      <c r="H45" s="183"/>
    </row>
    <row r="46" spans="3:8">
      <c r="C46" s="179"/>
      <c r="D46" s="180"/>
      <c r="E46" s="181"/>
      <c r="F46" s="182"/>
      <c r="G46" s="182"/>
      <c r="H46" s="183"/>
    </row>
    <row r="47" spans="3:8">
      <c r="C47" s="179"/>
      <c r="D47" s="180"/>
      <c r="E47" s="181"/>
      <c r="F47" s="182"/>
      <c r="G47" s="182"/>
      <c r="H47" s="183"/>
    </row>
    <row r="48" spans="3:8">
      <c r="C48" s="179"/>
      <c r="D48" s="180"/>
      <c r="E48" s="181"/>
      <c r="F48" s="182"/>
      <c r="G48" s="182"/>
      <c r="H48" s="183"/>
    </row>
    <row r="49" spans="3:8">
      <c r="C49" s="179"/>
      <c r="D49" s="180"/>
      <c r="E49" s="181"/>
      <c r="F49" s="182"/>
      <c r="G49" s="182"/>
      <c r="H49" s="183"/>
    </row>
    <row r="50" spans="3:8">
      <c r="C50" s="179"/>
      <c r="D50" s="180"/>
      <c r="E50" s="181"/>
      <c r="F50" s="182"/>
      <c r="G50" s="182"/>
      <c r="H50" s="183"/>
    </row>
    <row r="51" spans="3:8" ht="15" thickBot="1">
      <c r="C51" s="184"/>
      <c r="D51" s="185"/>
      <c r="E51" s="186"/>
      <c r="F51" s="187"/>
      <c r="G51" s="187"/>
      <c r="H51" s="188"/>
    </row>
    <row r="52" spans="3:8" ht="15" thickBot="1">
      <c r="C52" s="170" t="s">
        <v>362</v>
      </c>
      <c r="D52" s="189" t="s">
        <v>371</v>
      </c>
      <c r="E52" s="172" t="s">
        <v>372</v>
      </c>
      <c r="F52" s="172"/>
      <c r="G52" s="172"/>
      <c r="H52" s="172"/>
    </row>
    <row r="53" spans="3:8" ht="15" thickBot="1">
      <c r="C53" s="170"/>
      <c r="D53" s="173"/>
      <c r="E53" s="172"/>
      <c r="F53" s="172"/>
      <c r="G53" s="172"/>
      <c r="H53" s="172"/>
    </row>
    <row r="54" spans="3:8" ht="15" thickBot="1">
      <c r="C54" s="170"/>
      <c r="D54" s="173"/>
      <c r="E54" s="172"/>
      <c r="F54" s="172"/>
      <c r="G54" s="172"/>
      <c r="H54" s="172"/>
    </row>
    <row r="55" spans="3:8" ht="15" thickBot="1">
      <c r="C55" s="170"/>
      <c r="D55" s="173"/>
      <c r="E55" s="172"/>
      <c r="F55" s="172"/>
      <c r="G55" s="172"/>
      <c r="H55" s="172"/>
    </row>
    <row r="56" spans="3:8">
      <c r="C56" s="174" t="s">
        <v>362</v>
      </c>
      <c r="D56" s="175" t="s">
        <v>373</v>
      </c>
      <c r="E56" s="176" t="s">
        <v>374</v>
      </c>
      <c r="F56" s="177"/>
      <c r="G56" s="177"/>
      <c r="H56" s="178"/>
    </row>
    <row r="57" spans="3:8">
      <c r="C57" s="179"/>
      <c r="D57" s="180"/>
      <c r="E57" s="181"/>
      <c r="F57" s="182"/>
      <c r="G57" s="182"/>
      <c r="H57" s="183"/>
    </row>
    <row r="58" spans="3:8">
      <c r="C58" s="179"/>
      <c r="D58" s="180"/>
      <c r="E58" s="181"/>
      <c r="F58" s="182"/>
      <c r="G58" s="182"/>
      <c r="H58" s="183"/>
    </row>
    <row r="59" spans="3:8">
      <c r="C59" s="179"/>
      <c r="D59" s="180"/>
      <c r="E59" s="181"/>
      <c r="F59" s="182"/>
      <c r="G59" s="182"/>
      <c r="H59" s="183"/>
    </row>
    <row r="60" spans="3:8">
      <c r="C60" s="179"/>
      <c r="D60" s="180"/>
      <c r="E60" s="181"/>
      <c r="F60" s="182"/>
      <c r="G60" s="182"/>
      <c r="H60" s="183"/>
    </row>
    <row r="61" spans="3:8">
      <c r="C61" s="179"/>
      <c r="D61" s="180"/>
      <c r="E61" s="181"/>
      <c r="F61" s="182"/>
      <c r="G61" s="182"/>
      <c r="H61" s="183"/>
    </row>
    <row r="62" spans="3:8">
      <c r="C62" s="179"/>
      <c r="D62" s="180"/>
      <c r="E62" s="181"/>
      <c r="F62" s="182"/>
      <c r="G62" s="182"/>
      <c r="H62" s="183"/>
    </row>
    <row r="63" spans="3:8" ht="15" thickBot="1">
      <c r="C63" s="184"/>
      <c r="D63" s="185"/>
      <c r="E63" s="186"/>
      <c r="F63" s="187"/>
      <c r="G63" s="187"/>
      <c r="H63" s="188"/>
    </row>
  </sheetData>
  <mergeCells count="36">
    <mergeCell ref="C52:C55"/>
    <mergeCell ref="D52:D55"/>
    <mergeCell ref="E52:H55"/>
    <mergeCell ref="C56:C63"/>
    <mergeCell ref="D56:D63"/>
    <mergeCell ref="E56:H63"/>
    <mergeCell ref="C40:C43"/>
    <mergeCell ref="D40:D43"/>
    <mergeCell ref="E40:H43"/>
    <mergeCell ref="C44:C51"/>
    <mergeCell ref="D44:D51"/>
    <mergeCell ref="E44:H51"/>
    <mergeCell ref="C32:C35"/>
    <mergeCell ref="D32:D35"/>
    <mergeCell ref="E32:H35"/>
    <mergeCell ref="C36:C39"/>
    <mergeCell ref="D36:D39"/>
    <mergeCell ref="E36:H39"/>
    <mergeCell ref="C24:C27"/>
    <mergeCell ref="D24:D27"/>
    <mergeCell ref="E24:H27"/>
    <mergeCell ref="C28:C31"/>
    <mergeCell ref="D28:D31"/>
    <mergeCell ref="E28:H31"/>
    <mergeCell ref="D11:H11"/>
    <mergeCell ref="C12:H13"/>
    <mergeCell ref="C19:H19"/>
    <mergeCell ref="C20:E20"/>
    <mergeCell ref="C21:E21"/>
    <mergeCell ref="C22:E22"/>
    <mergeCell ref="C5:H5"/>
    <mergeCell ref="D6:H6"/>
    <mergeCell ref="D7:H7"/>
    <mergeCell ref="D8:H8"/>
    <mergeCell ref="D9:H9"/>
    <mergeCell ref="D10: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2025-10-16T16:27:02Z</dcterms:created>
  <dcterms:modified xsi:type="dcterms:W3CDTF">2025-11-01T19:01:35Z</dcterms:modified>
</cp:coreProperties>
</file>